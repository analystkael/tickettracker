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<sst xmlns="http://schemas.openxmlformats.org/spreadsheetml/2006/main" count="5" uniqueCount="5">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</sst>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sz val="7.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CE93D8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DC9B04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3D0000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true" applyProtection="false" borderId="2" fillId="2" fontId="2" numFmtId="164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3" numFmtId="0" xfId="0">
      <alignment horizontal="center" vertical="center" wrapText="true"/>
    </xf>
    <xf applyAlignment="true" applyBorder="false" applyFill="true" applyFont="true" applyNumberFormat="false" applyProtection="false" borderId="5" fillId="5" fontId="3" numFmtId="0" xfId="0">
      <alignment horizontal="center" vertical="center" wrapText="true"/>
    </xf>
    <xf applyAlignment="true" applyBorder="false" applyFill="true" applyFont="true" applyNumberFormat="false" applyProtection="false" borderId="6" fillId="6" fontId="2" numFmtId="0" xfId="0">
      <alignment horizontal="center" vertical="center" wrapText="true"/>
    </xf>
    <xf applyAlignment="true" applyBorder="false" applyFill="true" applyFont="true" applyNumberFormat="false" applyProtection="false" borderId="7" fillId="7" fontId="2" numFmtId="0" xfId="0">
      <alignment horizontal="center" vertical="center" wrapText="true"/>
    </xf>
    <xf applyAlignment="true" applyBorder="false" applyFill="true" applyFont="true" applyNumberFormat="false" applyProtection="false" borderId="8" fillId="8" fontId="4" numFmtId="0" xfId="0">
      <alignment horizontal="center" vertical="center" wrapText="true"/>
    </xf>
    <xf applyAlignment="true" applyBorder="false" applyFill="true" applyFont="true" applyNumberFormat="false" applyProtection="false" borderId="9" fillId="9" fontId="5" numFmtId="0" xfId="0">
      <alignment horizontal="left" vertical="bottom" wrapText="true"/>
    </xf>
    <xf applyAlignment="true" applyBorder="false" applyFill="true" applyFont="true" applyNumberFormat="false" applyProtection="false" borderId="10" fillId="10" fontId="3" numFmtId="0" xfId="0">
      <alignment horizontal="center" vertical="center" wrapText="true"/>
    </xf>
    <xf applyAlignment="true" applyBorder="false" applyFill="true" applyFont="true" applyNumberFormat="false" applyProtection="false" borderId="11" fillId="11" fontId="6" numFmtId="0" xfId="0">
      <alignment horizontal="center" vertical="center" wrapText="true"/>
    </xf>
    <xf applyAlignment="true" applyBorder="false" applyFill="true" applyFont="true" applyNumberFormat="false" applyProtection="false" borderId="12" fillId="12" fontId="2" numFmtId="0" xfId="0">
      <alignment horizontal="center" vertical="center" wrapText="true"/>
    </xf>
    <xf applyAlignment="true" applyBorder="false" applyFill="true" applyFont="true" applyNumberFormat="false" applyProtection="false" borderId="13" fillId="13" fontId="2" numFmtId="0" xfId="0">
      <alignment horizontal="center" vertical="center" wrapText="true"/>
    </xf>
    <xf applyAlignment="true" applyBorder="false" applyFill="true" applyFont="true" applyNumberFormat="false" applyProtection="false" borderId="14" fillId="14" fontId="7" numFmtId="0" xfId="0">
      <alignment horizontal="center" vertical="center" wrapText="true"/>
    </xf>
    <xf applyAlignment="true" applyBorder="false" applyFill="true" applyFont="true" applyNumberFormat="false" applyProtection="false" borderId="15" fillId="15" fontId="8" numFmtId="0" xfId="0">
      <alignment horizontal="left" vertical="center" wrapText="true"/>
    </xf>
    <xf applyAlignment="true" applyBorder="false" applyFill="true" applyFont="true" applyNumberFormat="false" applyProtection="false" borderId="16" fillId="16" fontId="9" numFmtId="0" xfId="0">
      <alignment horizontal="center" vertical="center" wrapText="true"/>
    </xf>
    <xf applyAlignment="true" applyBorder="false" applyFill="true" applyFont="true" applyNumberFormat="false" applyProtection="false" borderId="17" fillId="17" fontId="10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5" numFmtId="0" xfId="0">
      <alignment horizontal="center" vertical="center" wrapText="true"/>
    </xf>
    <xf applyAlignment="true" applyBorder="false" applyFill="true" applyFont="true" applyNumberFormat="false" applyProtection="false" borderId="21" fillId="21" fontId="7" numFmtId="0" xfId="0">
      <alignment horizontal="center" vertical="center"/>
    </xf>
    <xf applyAlignment="true" applyBorder="false" applyFill="true" applyFont="true" applyNumberFormat="false" applyProtection="false" borderId="22" fillId="22" fontId="13" numFmtId="0" xfId="0">
      <alignment vertical="center"/>
    </xf>
    <xf applyAlignment="true" applyBorder="false" applyFill="true" applyFont="true" applyNumberFormat="false" applyProtection="false" borderId="23" fillId="23" fontId="14" numFmtId="0" xfId="0">
      <alignment horizontal="center" vertical="center"/>
    </xf>
    <xf applyAlignment="true" applyBorder="false" applyFill="true" applyFont="true" applyNumberFormat="false" applyProtection="false" borderId="24" fillId="24" fontId="8" numFmtId="0" xfId="0">
      <alignment horizontal="center" vertical="center" wrapText="true"/>
    </xf>
    <xf applyAlignment="true" applyBorder="false" applyFill="false" applyFont="true" applyNumberFormat="false" applyProtection="false" borderId="25" fillId="0" fontId="15" numFmtId="0" xfId="0">
      <alignment horizontal="center" vertical="center"/>
    </xf>
    <xf applyAlignment="true" applyBorder="false" applyFill="true" applyFont="true" applyNumberFormat="false" applyProtection="false" borderId="26" fillId="25" fontId="8" numFmtId="0" xfId="0">
      <alignment horizontal="center" vertical="center" wrapText="true"/>
    </xf>
    <xf applyAlignment="true" applyBorder="false" applyFill="true" applyFont="true" applyNumberFormat="false" applyProtection="false" borderId="27" fillId="26" fontId="14" numFmtId="0" xfId="0">
      <alignment horizontal="center" vertical="center"/>
    </xf>
    <xf applyAlignment="true" applyBorder="false" applyFill="true" applyFont="true" applyNumberFormat="false" applyProtection="false" borderId="28" fillId="27" fontId="13" numFmtId="0" xfId="0">
      <alignment vertical="center"/>
    </xf>
    <xf applyAlignment="true" applyBorder="false" applyFill="true" applyFont="true" applyNumberFormat="false" applyProtection="false" borderId="29" fillId="28" fontId="16" numFmtId="0" xfId="0">
      <alignment horizontal="center" vertical="center" wrapText="true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8" numFmtId="0" xfId="0">
      <alignment horizontal="left" vertical="center" wrapText="true"/>
    </xf>
    <xf applyAlignment="true" applyBorder="false" applyFill="true" applyFont="true" applyNumberFormat="false" applyProtection="false" borderId="32" fillId="31" fontId="18" numFmtId="0" xfId="0">
      <alignment horizontal="center" vertical="center" wrapText="true"/>
    </xf>
    <xf applyAlignment="true" applyBorder="false" applyFill="true" applyFont="true" applyNumberFormat="false" applyProtection="false" borderId="33" fillId="32" fontId="19" numFmtId="0" xfId="0">
      <alignment horizontal="center" vertical="center" wrapText="true"/>
    </xf>
    <xf applyAlignment="true" applyBorder="false" applyFill="true" applyFont="true" applyNumberFormat="false" applyProtection="false" borderId="34" fillId="33" fontId="4" numFmtId="0" xfId="0">
      <alignment horizontal="center" vertical="center" wrapText="true"/>
    </xf>
    <xf applyAlignment="true" applyBorder="false" applyFill="true" applyFont="true" applyNumberFormat="false" applyProtection="false" borderId="35" fillId="34" fontId="2" numFmtId="0" xfId="0">
      <alignment horizontal="center" vertical="center" wrapText="true"/>
    </xf>
    <xf applyAlignment="true" applyBorder="false" applyFill="true" applyFont="true" applyNumberFormat="false" applyProtection="false" borderId="36" fillId="35" fontId="17" numFmtId="0" xfId="0">
      <alignment horizontal="center" vertical="center" wrapText="true"/>
    </xf>
    <xf applyAlignment="true" applyBorder="false" applyFill="true" applyFont="true" applyNumberFormat="false" applyProtection="false" borderId="37" fillId="36" fontId="4" numFmtId="0" xfId="0">
      <alignment horizontal="center" vertical="center" wrapText="true"/>
    </xf>
    <xf applyAlignment="true" applyBorder="false" applyFill="false" applyFont="true" applyNumberFormat="false" applyProtection="false" borderId="38" fillId="0" fontId="5" numFmtId="0" xfId="0">
      <alignment horizontal="left" vertical="bottom" wrapText="true"/>
    </xf>
    <xf applyAlignment="true" applyBorder="false" applyFill="true" applyFont="true" applyNumberFormat="false" applyProtection="false" borderId="39" fillId="37" fontId="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3" t="str">
        <v>MEMBER</v>
      </c>
      <c r="B2" s="3"/>
      <c r="C2" s="2">
        <v>46111</v>
      </c>
      <c r="D2" s="2">
        <v>46112</v>
      </c>
      <c r="E2" s="2">
        <v>46113</v>
      </c>
      <c r="F2" s="2">
        <v>46114</v>
      </c>
      <c r="G2" s="2">
        <v>46115</v>
      </c>
      <c r="H2" s="2">
        <v>46118</v>
      </c>
      <c r="I2" s="2">
        <v>46119</v>
      </c>
      <c r="J2" s="2">
        <v>46120</v>
      </c>
      <c r="K2" s="2">
        <v>46121</v>
      </c>
      <c r="L2" s="2">
        <v>46122</v>
      </c>
      <c r="M2" s="2">
        <v>46125</v>
      </c>
      <c r="N2" s="2">
        <v>46126</v>
      </c>
      <c r="O2" s="2">
        <v>46127</v>
      </c>
      <c r="P2" s="2">
        <v>46128</v>
      </c>
      <c r="Q2" s="2">
        <v>46129</v>
      </c>
      <c r="R2" s="2">
        <v>46132</v>
      </c>
      <c r="S2" s="2">
        <v>46133</v>
      </c>
      <c r="T2" s="2">
        <v>46134</v>
      </c>
      <c r="U2" s="2">
        <v>46135</v>
      </c>
      <c r="V2" s="2">
        <v>46136</v>
      </c>
      <c r="W2" s="2">
        <v>46139</v>
      </c>
      <c r="X2" s="2">
        <v>46140</v>
      </c>
      <c r="Y2" s="2">
        <v>46141</v>
      </c>
      <c r="Z2" s="2">
        <v>46142</v>
      </c>
      <c r="AA2" s="5" t="str">
        <v>Total
Tiket</v>
      </c>
      <c r="AB2" s="4" t="str">
        <v>Streak
(manual)</v>
      </c>
      <c r="AC2" s="6" t="s">
        <v>2</v>
      </c>
      <c r="AD2" s="6" t="s">
        <v>1</v>
      </c>
      <c r="AE2" s="7" t="s">
        <v>3</v>
      </c>
    </row>
    <row r="3">
      <c r="A3" s="3"/>
      <c r="B3" s="3"/>
      <c r="C3" s="11" t="str">
        <v>Sen</v>
      </c>
      <c r="D3" s="11" t="str">
        <v>Sel</v>
      </c>
      <c r="E3" s="11" t="str">
        <v>Rab</v>
      </c>
      <c r="F3" s="11" t="str">
        <v>Kam</v>
      </c>
      <c r="G3" s="11" t="str">
        <v>Jum</v>
      </c>
      <c r="H3" s="11" t="str">
        <v>Sen</v>
      </c>
      <c r="I3" s="11" t="str">
        <v>Sel</v>
      </c>
      <c r="J3" s="11" t="str">
        <v>Rab</v>
      </c>
      <c r="K3" s="11" t="str">
        <v>Kam</v>
      </c>
      <c r="L3" s="11" t="str">
        <v>Jum</v>
      </c>
      <c r="M3" s="11" t="str">
        <v>Sen</v>
      </c>
      <c r="N3" s="11" t="str">
        <v>Sel</v>
      </c>
      <c r="O3" s="11" t="str">
        <v>Rab</v>
      </c>
      <c r="P3" s="11" t="str">
        <v>Kam</v>
      </c>
      <c r="Q3" s="11" t="str">
        <v>Jum</v>
      </c>
      <c r="R3" s="11" t="str">
        <v>Sen</v>
      </c>
      <c r="S3" s="11" t="str">
        <v>Sel</v>
      </c>
      <c r="T3" s="11" t="str">
        <v>Rab</v>
      </c>
      <c r="U3" s="11" t="str">
        <v>Kam</v>
      </c>
      <c r="V3" s="11" t="str">
        <v>Jum</v>
      </c>
      <c r="W3" s="11" t="str">
        <v>Sen</v>
      </c>
      <c r="X3" s="11" t="str">
        <v>Sel</v>
      </c>
      <c r="Y3" s="11" t="str">
        <v>Rab</v>
      </c>
      <c r="Z3" s="11" t="str">
        <v>Kam</v>
      </c>
      <c r="AA3" s="13"/>
      <c r="AB3" s="12"/>
      <c r="AC3" s="6"/>
      <c r="AD3" s="6"/>
      <c r="AE3" s="7"/>
    </row>
    <row r="4">
      <c r="A4" s="9" t="str">
        <v>
</v>
      </c>
      <c r="B4" s="10" t="str">
        <v>TOTAL</v>
      </c>
      <c r="C4" s="8">
        <f>SUM(C5:C104)</f>
      </c>
      <c r="D4" s="8">
        <f>SUM(D5:D104)</f>
      </c>
      <c r="E4" s="8">
        <f>SUM(E5:E104)</f>
      </c>
      <c r="F4" s="8">
        <f>SUM(F5:F104)</f>
      </c>
      <c r="G4" s="8">
        <f>SUM(G5:G104)</f>
      </c>
      <c r="H4" s="8">
        <f>SUM(H5:H104)</f>
      </c>
      <c r="I4" s="8">
        <f>SUM(I5:I104)</f>
      </c>
      <c r="J4" s="8">
        <f>SUM(J5:J104)</f>
      </c>
      <c r="K4" s="8">
        <f>SUM(K5:K104)</f>
      </c>
      <c r="L4" s="8">
        <f>SUM(L5:L104)</f>
      </c>
      <c r="M4" s="8">
        <f>SUM(M5:M104)</f>
      </c>
      <c r="N4" s="8">
        <f>SUM(N5:N104)</f>
      </c>
      <c r="O4" s="8">
        <f>SUM(O5:O104)</f>
      </c>
      <c r="P4" s="8">
        <f>SUM(P5:P104)</f>
      </c>
      <c r="Q4" s="8">
        <f>SUM(Q5:Q104)</f>
      </c>
      <c r="R4" s="8">
        <f>SUM(R5:R104)</f>
      </c>
      <c r="S4" s="8">
        <f>SUM(S5:S104)</f>
      </c>
      <c r="T4" s="8">
        <f>SUM(T5:T104)</f>
      </c>
      <c r="U4" s="8">
        <f>SUM(U5:U104)</f>
      </c>
      <c r="V4" s="8">
        <f>SUM(V5:V104)</f>
      </c>
      <c r="W4" s="8">
        <f>SUM(W5:W104)</f>
      </c>
      <c r="X4" s="8">
        <f>SUM(X5:X104)</f>
      </c>
      <c r="Y4" s="8">
        <f>SUM(Y5:Y104)</f>
      </c>
      <c r="Z4" s="8">
        <f>SUM(Z5:Z104)</f>
      </c>
      <c r="AA4" s="8">
        <f>SUM(AA5:AA104)</f>
      </c>
      <c r="AB4" s="8">
        <f>SUM(AB5:AB104)</f>
      </c>
      <c r="AC4" s="8">
        <f>SUM(AC5:AC104)</f>
      </c>
      <c r="AD4" s="8">
        <f>SUM(AD5:AD104)</f>
      </c>
      <c r="AE4" s="8">
        <f>SUM(AE5:AE104)</f>
      </c>
    </row>
    <row r="5">
      <c r="A5" s="20">
        <v>1</v>
      </c>
      <c r="B5" s="15" t="str">
        <v>Radensaleh</v>
      </c>
      <c r="C5" s="14">
        <v>1</v>
      </c>
      <c r="D5" s="14">
        <v>1</v>
      </c>
      <c r="E5" s="14">
        <v>1</v>
      </c>
      <c r="F5" s="14">
        <v>1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6">
        <f>SUM(C5:Z5)</f>
      </c>
      <c r="AB5" s="17">
        <v>0</v>
      </c>
      <c r="AC5" s="18">
        <f>MIN(3, SUMPRODUCT((MOD(Streak!C5:Z5,5)=0)*(MOD(Streak!C5:Z5,10)&lt;&gt;0)*(Streak!C5:Z5&gt;0))) * 5</f>
      </c>
      <c r="AD5" s="18">
        <f>MIN(2, SUMPRODUCT((MOD(Streak!C5:Z5,10)=0)*(Streak!C5:Z5&gt;0))) * 20</f>
      </c>
      <c r="AE5" s="19">
        <f>SUM(AC5:AD5)</f>
      </c>
    </row>
    <row r="6">
      <c r="A6" s="20">
        <v>2</v>
      </c>
      <c r="B6" s="15" t="str">
        <v>Chepot</v>
      </c>
      <c r="C6" s="14">
        <v>1</v>
      </c>
      <c r="D6" s="14">
        <v>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6">
        <f>SUM(C6:Z6)</f>
      </c>
      <c r="AB6" s="17">
        <v>0</v>
      </c>
      <c r="AC6" s="18">
        <f>MIN(3, SUMPRODUCT((MOD(Streak!C6:Z6,5)=0)*(MOD(Streak!C6:Z6,10)&lt;&gt;0)*(Streak!C6:Z6&gt;0))) * 5</f>
      </c>
      <c r="AD6" s="18">
        <f>MIN(2, SUMPRODUCT((MOD(Streak!C6:Z6,10)=0)*(Streak!C6:Z6&gt;0))) * 20</f>
      </c>
      <c r="AE6" s="19">
        <f>SUM(AC6:AD6)</f>
      </c>
    </row>
    <row r="7">
      <c r="A7" s="20">
        <v>3</v>
      </c>
      <c r="B7" s="15" t="str">
        <v>irvin_1548314</v>
      </c>
      <c r="C7" s="14">
        <v>1</v>
      </c>
      <c r="D7" s="14">
        <v>1</v>
      </c>
      <c r="E7" s="14">
        <v>1</v>
      </c>
      <c r="F7" s="14">
        <v>1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6">
        <f>SUM(C7:Z7)</f>
      </c>
      <c r="AB7" s="17">
        <v>0</v>
      </c>
      <c r="AC7" s="18">
        <f>MIN(3, SUMPRODUCT((MOD(Streak!C7:Z7,5)=0)*(MOD(Streak!C7:Z7,10)&lt;&gt;0)*(Streak!C7:Z7&gt;0))) * 5</f>
      </c>
      <c r="AD7" s="18">
        <f>MIN(2, SUMPRODUCT((MOD(Streak!C7:Z7,10)=0)*(Streak!C7:Z7&gt;0))) * 20</f>
      </c>
      <c r="AE7" s="19">
        <f>SUM(AC7:AD7)</f>
      </c>
    </row>
    <row r="8">
      <c r="A8" s="20">
        <v>4</v>
      </c>
      <c r="B8" s="15" t="str">
        <v>efrio</v>
      </c>
      <c r="C8" s="14">
        <v>1</v>
      </c>
      <c r="D8" s="14">
        <v>1</v>
      </c>
      <c r="E8" s="14">
        <v>1</v>
      </c>
      <c r="F8" s="14">
        <v>1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6">
        <f>SUM(C8:Z8)</f>
      </c>
      <c r="AB8" s="17">
        <v>0</v>
      </c>
      <c r="AC8" s="18">
        <f>MIN(3, SUMPRODUCT((MOD(Streak!C8:Z8,5)=0)*(MOD(Streak!C8:Z8,10)&lt;&gt;0)*(Streak!C8:Z8&gt;0))) * 5</f>
      </c>
      <c r="AD8" s="18">
        <f>MIN(2, SUMPRODUCT((MOD(Streak!C8:Z8,10)=0)*(Streak!C8:Z8&gt;0))) * 20</f>
      </c>
      <c r="AE8" s="19">
        <f>SUM(AC8:AD8)</f>
      </c>
    </row>
    <row r="9">
      <c r="A9" s="20">
        <v>5</v>
      </c>
      <c r="B9" s="15" t="str">
        <v>yupid</v>
      </c>
      <c r="C9" s="14">
        <v>1</v>
      </c>
      <c r="D9" s="14">
        <v>1</v>
      </c>
      <c r="E9" s="14">
        <v>1</v>
      </c>
      <c r="F9" s="14">
        <v>1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6">
        <f>SUM(C9:Z9)</f>
      </c>
      <c r="AB9" s="17">
        <v>0</v>
      </c>
      <c r="AC9" s="18">
        <f>MIN(3, SUMPRODUCT((MOD(Streak!C9:Z9,5)=0)*(MOD(Streak!C9:Z9,10)&lt;&gt;0)*(Streak!C9:Z9&gt;0))) * 5</f>
      </c>
      <c r="AD9" s="18">
        <f>MIN(2, SUMPRODUCT((MOD(Streak!C9:Z9,10)=0)*(Streak!C9:Z9&gt;0))) * 20</f>
      </c>
      <c r="AE9" s="19">
        <f>SUM(AC9:AD9)</f>
      </c>
    </row>
    <row r="10">
      <c r="A10" s="20">
        <v>6</v>
      </c>
      <c r="B10" s="15" t="str">
        <v>kilek</v>
      </c>
      <c r="C10" s="14">
        <v>1</v>
      </c>
      <c r="D10" s="14">
        <v>1</v>
      </c>
      <c r="E10" s="14">
        <v>1</v>
      </c>
      <c r="F10" s="14">
        <v>1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6">
        <f>SUM(C10:Z10)</f>
      </c>
      <c r="AB10" s="17">
        <v>0</v>
      </c>
      <c r="AC10" s="18">
        <f>MIN(3, SUMPRODUCT((MOD(Streak!C10:Z10,5)=0)*(MOD(Streak!C10:Z10,10)&lt;&gt;0)*(Streak!C10:Z10&gt;0))) * 5</f>
      </c>
      <c r="AD10" s="18">
        <f>MIN(2, SUMPRODUCT((MOD(Streak!C10:Z10,10)=0)*(Streak!C10:Z10&gt;0))) * 20</f>
      </c>
      <c r="AE10" s="19">
        <f>SUM(AC10:AD10)</f>
      </c>
    </row>
    <row r="11">
      <c r="A11" s="20">
        <v>7</v>
      </c>
      <c r="B11" s="15" t="str">
        <v>Profit</v>
      </c>
      <c r="C11" s="14">
        <v>1</v>
      </c>
      <c r="D11" s="14">
        <v>1</v>
      </c>
      <c r="E11" s="14">
        <v>1</v>
      </c>
      <c r="F11" s="14">
        <v>1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6">
        <f>SUM(C11:Z11)</f>
      </c>
      <c r="AB11" s="17">
        <v>0</v>
      </c>
      <c r="AC11" s="18">
        <f>MIN(3, SUMPRODUCT((MOD(Streak!C11:Z11,5)=0)*(MOD(Streak!C11:Z11,10)&lt;&gt;0)*(Streak!C11:Z11&gt;0))) * 5</f>
      </c>
      <c r="AD11" s="18">
        <f>MIN(2, SUMPRODUCT((MOD(Streak!C11:Z11,10)=0)*(Streak!C11:Z11&gt;0))) * 20</f>
      </c>
      <c r="AE11" s="19">
        <f>SUM(AC11:AD11)</f>
      </c>
    </row>
    <row r="12">
      <c r="A12" s="20">
        <v>8</v>
      </c>
      <c r="B12" s="15" t="str">
        <v>R389</v>
      </c>
      <c r="C12" s="14">
        <v>1</v>
      </c>
      <c r="D12" s="14">
        <v>1</v>
      </c>
      <c r="E12" s="14">
        <v>1</v>
      </c>
      <c r="F12" s="14">
        <v>1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6">
        <f>SUM(C12:Z12)</f>
      </c>
      <c r="AB12" s="17">
        <v>0</v>
      </c>
      <c r="AC12" s="18">
        <f>MIN(3, SUMPRODUCT((MOD(Streak!C12:Z12,5)=0)*(MOD(Streak!C12:Z12,10)&lt;&gt;0)*(Streak!C12:Z12&gt;0))) * 5</f>
      </c>
      <c r="AD12" s="18">
        <f>MIN(2, SUMPRODUCT((MOD(Streak!C12:Z12,10)=0)*(Streak!C12:Z12&gt;0))) * 20</f>
      </c>
      <c r="AE12" s="19">
        <f>SUM(AC12:AD12)</f>
      </c>
    </row>
    <row r="13">
      <c r="A13" s="20">
        <v>9</v>
      </c>
      <c r="B13" s="15" t="str">
        <v>Egen</v>
      </c>
      <c r="C13" s="14">
        <v>1</v>
      </c>
      <c r="D13" s="14">
        <v>1</v>
      </c>
      <c r="E13" s="14">
        <v>1</v>
      </c>
      <c r="F13" s="14">
        <v>1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6">
        <f>SUM(C13:Z13)</f>
      </c>
      <c r="AB13" s="17">
        <v>0</v>
      </c>
      <c r="AC13" s="18">
        <f>MIN(3, SUMPRODUCT((MOD(Streak!C13:Z13,5)=0)*(MOD(Streak!C13:Z13,10)&lt;&gt;0)*(Streak!C13:Z13&gt;0))) * 5</f>
      </c>
      <c r="AD13" s="18">
        <f>MIN(2, SUMPRODUCT((MOD(Streak!C13:Z13,10)=0)*(Streak!C13:Z13&gt;0))) * 20</f>
      </c>
      <c r="AE13" s="19">
        <f>SUM(AC13:AD13)</f>
      </c>
    </row>
    <row r="14">
      <c r="A14" s="20">
        <v>10</v>
      </c>
      <c r="B14" s="15" t="str">
        <v>JADE KING</v>
      </c>
      <c r="C14" s="14">
        <v>1</v>
      </c>
      <c r="D14" s="14">
        <v>1</v>
      </c>
      <c r="E14" s="14">
        <v>1</v>
      </c>
      <c r="F14" s="14">
        <v>1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6">
        <f>SUM(C14:Z14)</f>
      </c>
      <c r="AB14" s="17">
        <v>0</v>
      </c>
      <c r="AC14" s="18">
        <f>MIN(3, SUMPRODUCT((MOD(Streak!C14:Z14,5)=0)*(MOD(Streak!C14:Z14,10)&lt;&gt;0)*(Streak!C14:Z14&gt;0))) * 5</f>
      </c>
      <c r="AD14" s="18">
        <f>MIN(2, SUMPRODUCT((MOD(Streak!C14:Z14,10)=0)*(Streak!C14:Z14&gt;0))) * 20</f>
      </c>
      <c r="AE14" s="19">
        <f>SUM(AC14:AD14)</f>
      </c>
    </row>
    <row r="15">
      <c r="A15" s="20">
        <v>11</v>
      </c>
      <c r="B15" s="15" t="str">
        <v>AV</v>
      </c>
      <c r="C15" s="14">
        <v>1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6">
        <f>SUM(C15:Z15)</f>
      </c>
      <c r="AB15" s="17">
        <v>0</v>
      </c>
      <c r="AC15" s="18">
        <f>MIN(3, SUMPRODUCT((MOD(Streak!C15:Z15,5)=0)*(MOD(Streak!C15:Z15,10)&lt;&gt;0)*(Streak!C15:Z15&gt;0))) * 5</f>
      </c>
      <c r="AD15" s="18">
        <f>MIN(2, SUMPRODUCT((MOD(Streak!C15:Z15,10)=0)*(Streak!C15:Z15&gt;0))) * 20</f>
      </c>
      <c r="AE15" s="19">
        <f>SUM(AC15:AD15)</f>
      </c>
    </row>
    <row r="16">
      <c r="A16" s="20">
        <v>12</v>
      </c>
      <c r="B16" s="15" t="str">
        <v>Yul Riadi</v>
      </c>
      <c r="C16" s="14">
        <v>1</v>
      </c>
      <c r="D16" s="14">
        <v>1</v>
      </c>
      <c r="E16" s="14">
        <v>1</v>
      </c>
      <c r="F16" s="14">
        <v>1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6">
        <f>SUM(C16:Z16)</f>
      </c>
      <c r="AB16" s="17">
        <v>0</v>
      </c>
      <c r="AC16" s="18">
        <f>MIN(3, SUMPRODUCT((MOD(Streak!C16:Z16,5)=0)*(MOD(Streak!C16:Z16,10)&lt;&gt;0)*(Streak!C16:Z16&gt;0))) * 5</f>
      </c>
      <c r="AD16" s="18">
        <f>MIN(2, SUMPRODUCT((MOD(Streak!C16:Z16,10)=0)*(Streak!C16:Z16&gt;0))) * 20</f>
      </c>
      <c r="AE16" s="19">
        <f>SUM(AC16:AD16)</f>
      </c>
    </row>
    <row r="17">
      <c r="A17" s="20">
        <v>13</v>
      </c>
      <c r="B17" s="15" t="str">
        <v>BSMLH_CUAN</v>
      </c>
      <c r="C17" s="14">
        <v>1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6">
        <f>SUM(C17:Z17)</f>
      </c>
      <c r="AB17" s="17">
        <v>0</v>
      </c>
      <c r="AC17" s="18">
        <f>MIN(3, SUMPRODUCT((MOD(Streak!C17:Z17,5)=0)*(MOD(Streak!C17:Z17,10)&lt;&gt;0)*(Streak!C17:Z17&gt;0))) * 5</f>
      </c>
      <c r="AD17" s="18">
        <f>MIN(2, SUMPRODUCT((MOD(Streak!C17:Z17,10)=0)*(Streak!C17:Z17&gt;0))) * 20</f>
      </c>
      <c r="AE17" s="19">
        <f>SUM(AC17:AD17)</f>
      </c>
    </row>
    <row r="18">
      <c r="A18" s="20">
        <v>14</v>
      </c>
      <c r="B18" s="15" t="str">
        <v>Maya</v>
      </c>
      <c r="C18" s="14">
        <v>1</v>
      </c>
      <c r="D18" s="14">
        <v>1</v>
      </c>
      <c r="E18" s="14">
        <v>1</v>
      </c>
      <c r="F18" s="14">
        <v>1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6">
        <f>SUM(C18:Z18)</f>
      </c>
      <c r="AB18" s="17">
        <v>0</v>
      </c>
      <c r="AC18" s="18">
        <f>MIN(3, SUMPRODUCT((MOD(Streak!C18:Z18,5)=0)*(MOD(Streak!C18:Z18,10)&lt;&gt;0)*(Streak!C18:Z18&gt;0))) * 5</f>
      </c>
      <c r="AD18" s="18">
        <f>MIN(2, SUMPRODUCT((MOD(Streak!C18:Z18,10)=0)*(Streak!C18:Z18&gt;0))) * 20</f>
      </c>
      <c r="AE18" s="19">
        <f>SUM(AC18:AD18)</f>
      </c>
    </row>
    <row r="19">
      <c r="A19" s="20">
        <v>15</v>
      </c>
      <c r="B19" s="15" t="str">
        <v>Mich</v>
      </c>
      <c r="C19" s="14">
        <v>1</v>
      </c>
      <c r="D19" s="14">
        <v>0</v>
      </c>
      <c r="E19" s="14">
        <v>1</v>
      </c>
      <c r="F19" s="14">
        <v>1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6">
        <f>SUM(C19:Z19)</f>
      </c>
      <c r="AB19" s="17">
        <v>0</v>
      </c>
      <c r="AC19" s="18">
        <f>MIN(3, SUMPRODUCT((MOD(Streak!C19:Z19,5)=0)*(MOD(Streak!C19:Z19,10)&lt;&gt;0)*(Streak!C19:Z19&gt;0))) * 5</f>
      </c>
      <c r="AD19" s="18">
        <f>MIN(2, SUMPRODUCT((MOD(Streak!C19:Z19,10)=0)*(Streak!C19:Z19&gt;0))) * 20</f>
      </c>
      <c r="AE19" s="19">
        <f>SUM(AC19:AD19)</f>
      </c>
    </row>
    <row r="20">
      <c r="A20" s="20">
        <v>16</v>
      </c>
      <c r="B20" s="15" t="str">
        <v>hyph90</v>
      </c>
      <c r="C20" s="14">
        <v>1</v>
      </c>
      <c r="D20" s="14">
        <v>0</v>
      </c>
      <c r="E20" s="14">
        <v>1</v>
      </c>
      <c r="F20" s="14">
        <v>1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6">
        <f>SUM(C20:Z20)</f>
      </c>
      <c r="AB20" s="17">
        <v>0</v>
      </c>
      <c r="AC20" s="18">
        <f>MIN(3, SUMPRODUCT((MOD(Streak!C20:Z20,5)=0)*(MOD(Streak!C20:Z20,10)&lt;&gt;0)*(Streak!C20:Z20&gt;0))) * 5</f>
      </c>
      <c r="AD20" s="18">
        <f>MIN(2, SUMPRODUCT((MOD(Streak!C20:Z20,10)=0)*(Streak!C20:Z20&gt;0))) * 20</f>
      </c>
      <c r="AE20" s="19">
        <f>SUM(AC20:AD20)</f>
      </c>
    </row>
    <row r="21">
      <c r="A21" s="20">
        <v>17</v>
      </c>
      <c r="B21" s="15" t="str">
        <v>CLOVER</v>
      </c>
      <c r="C21" s="14">
        <v>1</v>
      </c>
      <c r="D21" s="14">
        <v>1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6">
        <f>SUM(C21:Z21)</f>
      </c>
      <c r="AB21" s="17">
        <v>0</v>
      </c>
      <c r="AC21" s="18">
        <f>MIN(3, SUMPRODUCT((MOD(Streak!C21:Z21,5)=0)*(MOD(Streak!C21:Z21,10)&lt;&gt;0)*(Streak!C21:Z21&gt;0))) * 5</f>
      </c>
      <c r="AD21" s="18">
        <f>MIN(2, SUMPRODUCT((MOD(Streak!C21:Z21,10)=0)*(Streak!C21:Z21&gt;0))) * 20</f>
      </c>
      <c r="AE21" s="19">
        <f>SUM(AC21:AD21)</f>
      </c>
    </row>
    <row r="22">
      <c r="A22" s="20">
        <v>18</v>
      </c>
      <c r="B22" s="15" t="str">
        <v>Hanya G</v>
      </c>
      <c r="C22" s="14">
        <v>1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6">
        <f>SUM(C22:Z22)</f>
      </c>
      <c r="AB22" s="17">
        <v>0</v>
      </c>
      <c r="AC22" s="18">
        <f>MIN(3, SUMPRODUCT((MOD(Streak!C22:Z22,5)=0)*(MOD(Streak!C22:Z22,10)&lt;&gt;0)*(Streak!C22:Z22&gt;0))) * 5</f>
      </c>
      <c r="AD22" s="18">
        <f>MIN(2, SUMPRODUCT((MOD(Streak!C22:Z22,10)=0)*(Streak!C22:Z22&gt;0))) * 20</f>
      </c>
      <c r="AE22" s="19">
        <f>SUM(AC22:AD22)</f>
      </c>
    </row>
    <row r="23">
      <c r="A23" s="20">
        <v>19</v>
      </c>
      <c r="B23" s="15" t="str">
        <v>Nilla Sahkrisna</v>
      </c>
      <c r="C23" s="14">
        <v>1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6">
        <f>SUM(C23:Z23)</f>
      </c>
      <c r="AB23" s="17">
        <v>0</v>
      </c>
      <c r="AC23" s="18">
        <f>MIN(3, SUMPRODUCT((MOD(Streak!C23:Z23,5)=0)*(MOD(Streak!C23:Z23,10)&lt;&gt;0)*(Streak!C23:Z23&gt;0))) * 5</f>
      </c>
      <c r="AD23" s="18">
        <f>MIN(2, SUMPRODUCT((MOD(Streak!C23:Z23,10)=0)*(Streak!C23:Z23&gt;0))) * 20</f>
      </c>
      <c r="AE23" s="19">
        <f>SUM(AC23:AD23)</f>
      </c>
    </row>
    <row r="24">
      <c r="A24" s="20">
        <v>20</v>
      </c>
      <c r="B24" s="15" t="str">
        <v>Gugum</v>
      </c>
      <c r="C24" s="14">
        <v>1</v>
      </c>
      <c r="D24" s="14">
        <v>1</v>
      </c>
      <c r="E24" s="14">
        <v>1</v>
      </c>
      <c r="F24" s="14">
        <v>1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  <c r="Z24" s="14">
        <v>0</v>
      </c>
      <c r="AA24" s="16">
        <f>SUM(C24:Z24)</f>
      </c>
      <c r="AB24" s="17">
        <v>0</v>
      </c>
      <c r="AC24" s="18">
        <f>MIN(3, SUMPRODUCT((MOD(Streak!C24:Z24,5)=0)*(MOD(Streak!C24:Z24,10)&lt;&gt;0)*(Streak!C24:Z24&gt;0))) * 5</f>
      </c>
      <c r="AD24" s="18">
        <f>MIN(2, SUMPRODUCT((MOD(Streak!C24:Z24,10)=0)*(Streak!C24:Z24&gt;0))) * 20</f>
      </c>
      <c r="AE24" s="19">
        <f>SUM(AC24:AD24)</f>
      </c>
    </row>
    <row r="25">
      <c r="A25" s="20">
        <v>21</v>
      </c>
      <c r="B25" s="15" t="str">
        <v>Pak Ogah</v>
      </c>
      <c r="C25" s="14">
        <v>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6">
        <f>SUM(C25:Z25)</f>
      </c>
      <c r="AB25" s="17">
        <v>0</v>
      </c>
      <c r="AC25" s="18">
        <f>MIN(3, SUMPRODUCT((MOD(Streak!C25:Z25,5)=0)*(MOD(Streak!C25:Z25,10)&lt;&gt;0)*(Streak!C25:Z25&gt;0))) * 5</f>
      </c>
      <c r="AD25" s="18">
        <f>MIN(2, SUMPRODUCT((MOD(Streak!C25:Z25,10)=0)*(Streak!C25:Z25&gt;0))) * 20</f>
      </c>
      <c r="AE25" s="19">
        <f>SUM(AC25:AD25)</f>
      </c>
    </row>
    <row r="26">
      <c r="A26" s="20">
        <v>22</v>
      </c>
      <c r="B26" s="15" t="str">
        <v>Yoshi</v>
      </c>
      <c r="C26" s="14">
        <v>1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6">
        <f>SUM(C26:Z26)</f>
      </c>
      <c r="AB26" s="17">
        <v>0</v>
      </c>
      <c r="AC26" s="18">
        <f>MIN(3, SUMPRODUCT((MOD(Streak!C26:Z26,5)=0)*(MOD(Streak!C26:Z26,10)&lt;&gt;0)*(Streak!C26:Z26&gt;0))) * 5</f>
      </c>
      <c r="AD26" s="18">
        <f>MIN(2, SUMPRODUCT((MOD(Streak!C26:Z26,10)=0)*(Streak!C26:Z26&gt;0))) * 20</f>
      </c>
      <c r="AE26" s="19">
        <f>SUM(AC26:AD26)</f>
      </c>
    </row>
    <row r="27">
      <c r="A27" s="20">
        <v>23</v>
      </c>
      <c r="B27" s="15" t="str">
        <v>Ennang</v>
      </c>
      <c r="C27" s="14">
        <v>1</v>
      </c>
      <c r="D27" s="14">
        <v>1</v>
      </c>
      <c r="E27" s="14">
        <v>1</v>
      </c>
      <c r="F27" s="14">
        <v>1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6">
        <f>SUM(C27:Z27)</f>
      </c>
      <c r="AB27" s="17">
        <v>0</v>
      </c>
      <c r="AC27" s="18">
        <f>MIN(3, SUMPRODUCT((MOD(Streak!C27:Z27,5)=0)*(MOD(Streak!C27:Z27,10)&lt;&gt;0)*(Streak!C27:Z27&gt;0))) * 5</f>
      </c>
      <c r="AD27" s="18">
        <f>MIN(2, SUMPRODUCT((MOD(Streak!C27:Z27,10)=0)*(Streak!C27:Z27&gt;0))) * 20</f>
      </c>
      <c r="AE27" s="19">
        <f>SUM(AC27:AD27)</f>
      </c>
    </row>
    <row r="28">
      <c r="A28" s="20">
        <v>24</v>
      </c>
      <c r="B28" s="15" t="str">
        <v>Mr. CuanTrus</v>
      </c>
      <c r="C28" s="14">
        <v>1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0</v>
      </c>
      <c r="Z28" s="14">
        <v>0</v>
      </c>
      <c r="AA28" s="16">
        <f>SUM(C28:Z28)</f>
      </c>
      <c r="AB28" s="17">
        <v>0</v>
      </c>
      <c r="AC28" s="18">
        <f>MIN(3, SUMPRODUCT((MOD(Streak!C28:Z28,5)=0)*(MOD(Streak!C28:Z28,10)&lt;&gt;0)*(Streak!C28:Z28&gt;0))) * 5</f>
      </c>
      <c r="AD28" s="18">
        <f>MIN(2, SUMPRODUCT((MOD(Streak!C28:Z28,10)=0)*(Streak!C28:Z28&gt;0))) * 20</f>
      </c>
      <c r="AE28" s="19">
        <f>SUM(AC28:AD28)</f>
      </c>
    </row>
    <row r="29">
      <c r="A29" s="20">
        <v>25</v>
      </c>
      <c r="B29" s="15" t="str">
        <v>SETELANCUAN</v>
      </c>
      <c r="C29" s="14">
        <v>1</v>
      </c>
      <c r="D29" s="14">
        <v>0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6">
        <f>SUM(C29:Z29)</f>
      </c>
      <c r="AB29" s="17">
        <v>0</v>
      </c>
      <c r="AC29" s="18">
        <f>MIN(3, SUMPRODUCT((MOD(Streak!C29:Z29,5)=0)*(MOD(Streak!C29:Z29,10)&lt;&gt;0)*(Streak!C29:Z29&gt;0))) * 5</f>
      </c>
      <c r="AD29" s="18">
        <f>MIN(2, SUMPRODUCT((MOD(Streak!C29:Z29,10)=0)*(Streak!C29:Z29&gt;0))) * 20</f>
      </c>
      <c r="AE29" s="19">
        <f>SUM(AC29:AD29)</f>
      </c>
    </row>
    <row r="30">
      <c r="A30" s="20">
        <v>26</v>
      </c>
      <c r="B30" s="15" t="str">
        <v>Alfath</v>
      </c>
      <c r="C30" s="14">
        <v>1</v>
      </c>
      <c r="D30" s="14">
        <v>1</v>
      </c>
      <c r="E30" s="14">
        <v>1</v>
      </c>
      <c r="F30" s="14">
        <v>1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6">
        <f>SUM(C30:Z30)</f>
      </c>
      <c r="AB30" s="17">
        <v>0</v>
      </c>
      <c r="AC30" s="18">
        <f>MIN(3, SUMPRODUCT((MOD(Streak!C30:Z30,5)=0)*(MOD(Streak!C30:Z30,10)&lt;&gt;0)*(Streak!C30:Z30&gt;0))) * 5</f>
      </c>
      <c r="AD30" s="18">
        <f>MIN(2, SUMPRODUCT((MOD(Streak!C30:Z30,10)=0)*(Streak!C30:Z30&gt;0))) * 20</f>
      </c>
      <c r="AE30" s="19">
        <f>SUM(AC30:AD30)</f>
      </c>
    </row>
    <row r="31">
      <c r="A31" s="20">
        <v>27</v>
      </c>
      <c r="B31" s="15" t="str">
        <v>Azi</v>
      </c>
      <c r="C31" s="14">
        <v>1</v>
      </c>
      <c r="D31" s="14">
        <v>1</v>
      </c>
      <c r="E31" s="14">
        <v>0</v>
      </c>
      <c r="F31" s="14">
        <v>1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6">
        <f>SUM(C31:Z31)</f>
      </c>
      <c r="AB31" s="17">
        <v>0</v>
      </c>
      <c r="AC31" s="18">
        <f>MIN(3, SUMPRODUCT((MOD(Streak!C31:Z31,5)=0)*(MOD(Streak!C31:Z31,10)&lt;&gt;0)*(Streak!C31:Z31&gt;0))) * 5</f>
      </c>
      <c r="AD31" s="18">
        <f>MIN(2, SUMPRODUCT((MOD(Streak!C31:Z31,10)=0)*(Streak!C31:Z31&gt;0))) * 20</f>
      </c>
      <c r="AE31" s="19">
        <f>SUM(AC31:AD31)</f>
      </c>
    </row>
    <row r="32">
      <c r="A32" s="20">
        <v>28</v>
      </c>
      <c r="B32" s="15" t="str">
        <v>Adimaya79</v>
      </c>
      <c r="C32" s="14">
        <v>1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6">
        <f>SUM(C32:Z32)</f>
      </c>
      <c r="AB32" s="17">
        <v>0</v>
      </c>
      <c r="AC32" s="18">
        <f>MIN(3, SUMPRODUCT((MOD(Streak!C32:Z32,5)=0)*(MOD(Streak!C32:Z32,10)&lt;&gt;0)*(Streak!C32:Z32&gt;0))) * 5</f>
      </c>
      <c r="AD32" s="18">
        <f>MIN(2, SUMPRODUCT((MOD(Streak!C32:Z32,10)=0)*(Streak!C32:Z32&gt;0))) * 20</f>
      </c>
      <c r="AE32" s="19">
        <f>SUM(AC32:AD32)</f>
      </c>
    </row>
    <row r="33">
      <c r="A33" s="20">
        <v>29</v>
      </c>
      <c r="B33" s="15" t="str">
        <v>Bonnino</v>
      </c>
      <c r="C33" s="14">
        <v>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6">
        <f>SUM(C33:Z33)</f>
      </c>
      <c r="AB33" s="17">
        <v>0</v>
      </c>
      <c r="AC33" s="18">
        <f>MIN(3, SUMPRODUCT((MOD(Streak!C33:Z33,5)=0)*(MOD(Streak!C33:Z33,10)&lt;&gt;0)*(Streak!C33:Z33&gt;0))) * 5</f>
      </c>
      <c r="AD33" s="18">
        <f>MIN(2, SUMPRODUCT((MOD(Streak!C33:Z33,10)=0)*(Streak!C33:Z33&gt;0))) * 20</f>
      </c>
      <c r="AE33" s="19">
        <f>SUM(AC33:AD33)</f>
      </c>
    </row>
    <row r="34">
      <c r="A34" s="20">
        <v>30</v>
      </c>
      <c r="B34" s="15" t="str">
        <v>Hui Soen Kiong</v>
      </c>
      <c r="C34" s="14">
        <v>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6">
        <f>SUM(C34:Z34)</f>
      </c>
      <c r="AB34" s="17">
        <v>0</v>
      </c>
      <c r="AC34" s="18">
        <f>MIN(3, SUMPRODUCT((MOD(Streak!C34:Z34,5)=0)*(MOD(Streak!C34:Z34,10)&lt;&gt;0)*(Streak!C34:Z34&gt;0))) * 5</f>
      </c>
      <c r="AD34" s="18">
        <f>MIN(2, SUMPRODUCT((MOD(Streak!C34:Z34,10)=0)*(Streak!C34:Z34&gt;0))) * 20</f>
      </c>
      <c r="AE34" s="19">
        <f>SUM(AC34:AD34)</f>
      </c>
    </row>
    <row r="35">
      <c r="A35" s="23">
        <v>31</v>
      </c>
      <c r="B35" s="22" t="str">
        <v>JAMberAPA12</v>
      </c>
      <c r="C35" s="21">
        <v>0</v>
      </c>
      <c r="D35" s="21">
        <v>0</v>
      </c>
      <c r="E35" s="21">
        <v>1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6">
        <f>SUM(C35:Z35)</f>
      </c>
      <c r="AB35" s="17">
        <v>0</v>
      </c>
      <c r="AC35" s="18">
        <f>MIN(3, SUMPRODUCT((MOD(Streak!C35:Z35,5)=0)*(MOD(Streak!C35:Z35,10)&lt;&gt;0)*(Streak!C35:Z35&gt;0))) * 5</f>
      </c>
      <c r="AD35" s="18">
        <f>MIN(2, SUMPRODUCT((MOD(Streak!C35:Z35,10)=0)*(Streak!C35:Z35&gt;0))) * 20</f>
      </c>
      <c r="AE35" s="19">
        <f>SUM(AC35:AD35)</f>
      </c>
    </row>
    <row r="36">
      <c r="A36" s="23">
        <v>32</v>
      </c>
      <c r="B36" s="22" t="str">
        <v>FerryGood</v>
      </c>
      <c r="C36" s="21">
        <v>0</v>
      </c>
      <c r="D36" s="21">
        <v>0</v>
      </c>
      <c r="E36" s="21">
        <v>1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6">
        <f>SUM(C36:Z36)</f>
      </c>
      <c r="AB36" s="17">
        <v>0</v>
      </c>
      <c r="AC36" s="18">
        <f>MIN(3, SUMPRODUCT((MOD(Streak!C36:Z36,5)=0)*(MOD(Streak!C36:Z36,10)&lt;&gt;0)*(Streak!C36:Z36&gt;0))) * 5</f>
      </c>
      <c r="AD36" s="18">
        <f>MIN(2, SUMPRODUCT((MOD(Streak!C36:Z36,10)=0)*(Streak!C36:Z36&gt;0))) * 20</f>
      </c>
      <c r="AE36" s="19">
        <f>SUM(AC36:AD36)</f>
      </c>
    </row>
    <row r="37">
      <c r="A37" s="23">
        <v>33</v>
      </c>
      <c r="B37" s="22" t="str">
        <v>messiLeo</v>
      </c>
      <c r="C37" s="21">
        <v>0</v>
      </c>
      <c r="D37" s="21">
        <v>0</v>
      </c>
      <c r="E37" s="21">
        <v>1</v>
      </c>
      <c r="F37" s="14">
        <v>1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6">
        <f>SUM(C37:Z37)</f>
      </c>
      <c r="AB37" s="17">
        <v>0</v>
      </c>
      <c r="AC37" s="18">
        <f>MIN(3, SUMPRODUCT((MOD(Streak!C37:Z37,5)=0)*(MOD(Streak!C37:Z37,10)&lt;&gt;0)*(Streak!C37:Z37&gt;0))) * 5</f>
      </c>
      <c r="AD37" s="18">
        <f>MIN(2, SUMPRODUCT((MOD(Streak!C37:Z37,10)=0)*(Streak!C37:Z37&gt;0))) * 20</f>
      </c>
      <c r="AE37" s="19">
        <f>SUM(AC37:AD37)</f>
      </c>
    </row>
    <row r="38">
      <c r="A38" s="23">
        <v>34</v>
      </c>
      <c r="B38" s="22" t="str">
        <v>KepomponG✅</v>
      </c>
      <c r="C38" s="21">
        <v>0</v>
      </c>
      <c r="D38" s="21">
        <v>0</v>
      </c>
      <c r="E38" s="21">
        <v>1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6">
        <f>SUM(C38:Z38)</f>
      </c>
      <c r="AB38" s="17">
        <v>0</v>
      </c>
      <c r="AC38" s="18">
        <f>MIN(3, SUMPRODUCT((MOD(Streak!C38:Z38,5)=0)*(MOD(Streak!C38:Z38,10)&lt;&gt;0)*(Streak!C38:Z38&gt;0))) * 5</f>
      </c>
      <c r="AD38" s="18">
        <f>MIN(2, SUMPRODUCT((MOD(Streak!C38:Z38,10)=0)*(Streak!C38:Z38&gt;0))) * 20</f>
      </c>
      <c r="AE38" s="19">
        <f>SUM(AC38:AD38)</f>
      </c>
    </row>
    <row r="39">
      <c r="A39" s="23">
        <v>35</v>
      </c>
      <c r="B39" s="22" t="str" xml:space="preserve">
        <v>Yuli </v>
      </c>
      <c r="C39" s="21">
        <v>0</v>
      </c>
      <c r="D39" s="21">
        <v>1</v>
      </c>
      <c r="E39" s="21">
        <v>1</v>
      </c>
      <c r="F39" s="14">
        <v>1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6">
        <f>SUM(C39:Z39)</f>
      </c>
      <c r="AB39" s="17">
        <v>0</v>
      </c>
      <c r="AC39" s="18">
        <f>MIN(3, SUMPRODUCT((MOD(Streak!C39:Z39,5)=0)*(MOD(Streak!C39:Z39,10)&lt;&gt;0)*(Streak!C39:Z39&gt;0))) * 5</f>
      </c>
      <c r="AD39" s="18">
        <f>MIN(2, SUMPRODUCT((MOD(Streak!C39:Z39,10)=0)*(Streak!C39:Z39&gt;0))) * 20</f>
      </c>
      <c r="AE39" s="19">
        <f>SUM(AC39:AD39)</f>
      </c>
    </row>
    <row r="40">
      <c r="A40" s="23">
        <v>36</v>
      </c>
      <c r="B40" s="22" t="str">
        <v>GELPHY ✅</v>
      </c>
      <c r="C40" s="21">
        <v>0</v>
      </c>
      <c r="D40" s="21">
        <v>0</v>
      </c>
      <c r="E40" s="21">
        <v>1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6">
        <f>SUM(C40:Z40)</f>
      </c>
      <c r="AB40" s="17">
        <v>0</v>
      </c>
      <c r="AC40" s="18">
        <f>MIN(3, SUMPRODUCT((MOD(Streak!C40:Z40,5)=0)*(MOD(Streak!C40:Z40,10)&lt;&gt;0)*(Streak!C40:Z40&gt;0))) * 5</f>
      </c>
      <c r="AD40" s="18">
        <f>MIN(2, SUMPRODUCT((MOD(Streak!C40:Z40,10)=0)*(Streak!C40:Z40&gt;0))) * 20</f>
      </c>
      <c r="AE40" s="19">
        <f>SUM(AC40:AD40)</f>
      </c>
    </row>
    <row r="41">
      <c r="A41" s="23">
        <v>37</v>
      </c>
      <c r="B41" s="22" t="str">
        <v>Darso</v>
      </c>
      <c r="C41" s="21">
        <v>0</v>
      </c>
      <c r="D41" s="21">
        <v>0</v>
      </c>
      <c r="E41" s="21">
        <v>1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6">
        <f>SUM(C41:Z41)</f>
      </c>
      <c r="AB41" s="17">
        <v>0</v>
      </c>
      <c r="AC41" s="18">
        <f>MIN(3, SUMPRODUCT((MOD(Streak!C41:Z41,5)=0)*(MOD(Streak!C41:Z41,10)&lt;&gt;0)*(Streak!C41:Z41&gt;0))) * 5</f>
      </c>
      <c r="AD41" s="18">
        <f>MIN(2, SUMPRODUCT((MOD(Streak!C41:Z41,10)=0)*(Streak!C41:Z41&gt;0))) * 20</f>
      </c>
      <c r="AE41" s="19">
        <f>SUM(AC41:AD41)</f>
      </c>
    </row>
    <row r="42">
      <c r="A42" s="23">
        <v>38</v>
      </c>
      <c r="B42" s="22" t="str">
        <v>Zuna76</v>
      </c>
      <c r="C42" s="21">
        <v>0</v>
      </c>
      <c r="D42" s="21">
        <v>0</v>
      </c>
      <c r="E42" s="21">
        <v>1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6">
        <f>SUM(C42:Z42)</f>
      </c>
      <c r="AB42" s="17">
        <v>0</v>
      </c>
      <c r="AC42" s="18">
        <f>MIN(3, SUMPRODUCT((MOD(Streak!C42:Z42,5)=0)*(MOD(Streak!C42:Z42,10)&lt;&gt;0)*(Streak!C42:Z42&gt;0))) * 5</f>
      </c>
      <c r="AD42" s="18">
        <f>MIN(2, SUMPRODUCT((MOD(Streak!C42:Z42,10)=0)*(Streak!C42:Z42&gt;0))) * 20</f>
      </c>
      <c r="AE42" s="19">
        <f>SUM(AC42:AD42)</f>
      </c>
    </row>
    <row r="43">
      <c r="A43" s="23">
        <v>39</v>
      </c>
      <c r="B43" s="22" t="str">
        <v>peyeri1906</v>
      </c>
      <c r="C43" s="21">
        <v>0</v>
      </c>
      <c r="D43" s="21">
        <v>1</v>
      </c>
      <c r="E43" s="21">
        <v>1</v>
      </c>
      <c r="F43" s="14">
        <v>1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6">
        <f>SUM(C43:Z43)</f>
      </c>
      <c r="AB43" s="17">
        <v>0</v>
      </c>
      <c r="AC43" s="18">
        <f>MIN(3, SUMPRODUCT((MOD(Streak!C43:Z43,5)=0)*(MOD(Streak!C43:Z43,10)&lt;&gt;0)*(Streak!C43:Z43&gt;0))) * 5</f>
      </c>
      <c r="AD43" s="18">
        <f>MIN(2, SUMPRODUCT((MOD(Streak!C43:Z43,10)=0)*(Streak!C43:Z43&gt;0))) * 20</f>
      </c>
      <c r="AE43" s="19">
        <f>SUM(AC43:AD43)</f>
      </c>
    </row>
    <row r="44">
      <c r="A44" s="23">
        <v>40</v>
      </c>
      <c r="B44" s="22" t="str">
        <v>Lani</v>
      </c>
      <c r="C44" s="21">
        <v>0</v>
      </c>
      <c r="D44" s="21">
        <v>0</v>
      </c>
      <c r="E44" s="21">
        <v>1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6">
        <f>SUM(C44:Z44)</f>
      </c>
      <c r="AB44" s="17">
        <v>0</v>
      </c>
      <c r="AC44" s="18">
        <f>MIN(3, SUMPRODUCT((MOD(Streak!C44:Z44,5)=0)*(MOD(Streak!C44:Z44,10)&lt;&gt;0)*(Streak!C44:Z44&gt;0))) * 5</f>
      </c>
      <c r="AD44" s="18">
        <f>MIN(2, SUMPRODUCT((MOD(Streak!C44:Z44,10)=0)*(Streak!C44:Z44&gt;0))) * 20</f>
      </c>
      <c r="AE44" s="19">
        <f>SUM(AC44:AD44)</f>
      </c>
    </row>
    <row r="45">
      <c r="A45" s="23">
        <v>41</v>
      </c>
      <c r="B45" s="22" t="str">
        <v>mytradding</v>
      </c>
      <c r="C45" s="21">
        <v>0</v>
      </c>
      <c r="D45" s="21">
        <v>0</v>
      </c>
      <c r="E45" s="21">
        <v>1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6">
        <f>SUM(C45:Z45)</f>
      </c>
      <c r="AB45" s="17">
        <v>0</v>
      </c>
      <c r="AC45" s="18">
        <f>MIN(3, SUMPRODUCT((MOD(Streak!C45:Z45,5)=0)*(MOD(Streak!C45:Z45,10)&lt;&gt;0)*(Streak!C45:Z45&gt;0))) * 5</f>
      </c>
      <c r="AD45" s="18">
        <f>MIN(2, SUMPRODUCT((MOD(Streak!C45:Z45,10)=0)*(Streak!C45:Z45&gt;0))) * 20</f>
      </c>
      <c r="AE45" s="19">
        <f>SUM(AC45:AD45)</f>
      </c>
    </row>
    <row r="46">
      <c r="A46" s="23">
        <v>42</v>
      </c>
      <c r="B46" s="22" t="str">
        <v>Bejo09</v>
      </c>
      <c r="C46" s="21">
        <v>0</v>
      </c>
      <c r="D46" s="21">
        <v>0</v>
      </c>
      <c r="E46" s="21">
        <v>1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6">
        <f>SUM(C46:Z46)</f>
      </c>
      <c r="AB46" s="17">
        <v>0</v>
      </c>
      <c r="AC46" s="18">
        <f>MIN(3, SUMPRODUCT((MOD(Streak!C46:Z46,5)=0)*(MOD(Streak!C46:Z46,10)&lt;&gt;0)*(Streak!C46:Z46&gt;0))) * 5</f>
      </c>
      <c r="AD46" s="18">
        <f>MIN(2, SUMPRODUCT((MOD(Streak!C46:Z46,10)=0)*(Streak!C46:Z46&gt;0))) * 20</f>
      </c>
      <c r="AE46" s="19">
        <f>SUM(AC46:AD46)</f>
      </c>
    </row>
    <row r="47">
      <c r="A47" s="23">
        <v>43</v>
      </c>
      <c r="B47" s="22" t="str" xml:space="preserve">
        <v>FAAHAS </v>
      </c>
      <c r="C47" s="21">
        <v>0</v>
      </c>
      <c r="D47" s="21">
        <v>1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6">
        <f>SUM(C47:Z47)</f>
      </c>
      <c r="AB47" s="17">
        <v>0</v>
      </c>
      <c r="AC47" s="18">
        <f>MIN(3, SUMPRODUCT((MOD(Streak!C47:Z47,5)=0)*(MOD(Streak!C47:Z47,10)&lt;&gt;0)*(Streak!C47:Z47&gt;0))) * 5</f>
      </c>
      <c r="AD47" s="18">
        <f>MIN(2, SUMPRODUCT((MOD(Streak!C47:Z47,10)=0)*(Streak!C47:Z47&gt;0))) * 20</f>
      </c>
      <c r="AE47" s="19">
        <f>SUM(AC47:AD47)</f>
      </c>
    </row>
    <row r="48">
      <c r="A48" s="23">
        <v>44</v>
      </c>
      <c r="B48" s="22" t="str">
        <v>Mr.Eko</v>
      </c>
      <c r="C48" s="21">
        <v>0</v>
      </c>
      <c r="D48" s="21">
        <v>1</v>
      </c>
      <c r="E48" s="21">
        <v>1</v>
      </c>
      <c r="F48" s="14">
        <v>1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6">
        <f>SUM(C48:Z48)</f>
      </c>
      <c r="AB48" s="17">
        <v>0</v>
      </c>
      <c r="AC48" s="18">
        <f>MIN(3, SUMPRODUCT((MOD(Streak!C48:Z48,5)=0)*(MOD(Streak!C48:Z48,10)&lt;&gt;0)*(Streak!C48:Z48&gt;0))) * 5</f>
      </c>
      <c r="AD48" s="18">
        <f>MIN(2, SUMPRODUCT((MOD(Streak!C48:Z48,10)=0)*(Streak!C48:Z48&gt;0))) * 20</f>
      </c>
      <c r="AE48" s="19">
        <f>SUM(AC48:AD48)</f>
      </c>
    </row>
    <row r="49">
      <c r="A49" s="23">
        <v>45</v>
      </c>
      <c r="B49" s="22" t="str">
        <v>ernaeky788</v>
      </c>
      <c r="C49" s="21">
        <v>0</v>
      </c>
      <c r="D49" s="21">
        <v>1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6">
        <f>SUM(C49:Z49)</f>
      </c>
      <c r="AB49" s="17">
        <v>0</v>
      </c>
      <c r="AC49" s="18">
        <f>MIN(3, SUMPRODUCT((MOD(Streak!C49:Z49,5)=0)*(MOD(Streak!C49:Z49,10)&lt;&gt;0)*(Streak!C49:Z49&gt;0))) * 5</f>
      </c>
      <c r="AD49" s="18">
        <f>MIN(2, SUMPRODUCT((MOD(Streak!C49:Z49,10)=0)*(Streak!C49:Z49&gt;0))) * 20</f>
      </c>
      <c r="AE49" s="19">
        <f>SUM(AC49:AD49)</f>
      </c>
    </row>
    <row r="50">
      <c r="A50" s="23">
        <v>46</v>
      </c>
      <c r="B50" s="22" t="str">
        <v>Cuan XRP</v>
      </c>
      <c r="C50" s="21">
        <v>0</v>
      </c>
      <c r="D50" s="21">
        <v>1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6">
        <f>SUM(C50:Z50)</f>
      </c>
      <c r="AB50" s="17">
        <v>0</v>
      </c>
      <c r="AC50" s="18">
        <f>MIN(3, SUMPRODUCT((MOD(Streak!C50:Z50,5)=0)*(MOD(Streak!C50:Z50,10)&lt;&gt;0)*(Streak!C50:Z50&gt;0))) * 5</f>
      </c>
      <c r="AD50" s="18">
        <f>MIN(2, SUMPRODUCT((MOD(Streak!C50:Z50,10)=0)*(Streak!C50:Z50&gt;0))) * 20</f>
      </c>
      <c r="AE50" s="19">
        <f>SUM(AC50:AD50)</f>
      </c>
    </row>
    <row r="51">
      <c r="A51" s="23">
        <v>47</v>
      </c>
      <c r="B51" s="22" t="str">
        <v>MUHAMMAD NASRULLAH</v>
      </c>
      <c r="C51" s="21">
        <v>0</v>
      </c>
      <c r="D51" s="21">
        <v>1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6">
        <f>SUM(C51:Z51)</f>
      </c>
      <c r="AB51" s="17">
        <v>0</v>
      </c>
      <c r="AC51" s="18">
        <f>MIN(3, SUMPRODUCT((MOD(Streak!C51:Z51,5)=0)*(MOD(Streak!C51:Z51,10)&lt;&gt;0)*(Streak!C51:Z51&gt;0))) * 5</f>
      </c>
      <c r="AD51" s="18">
        <f>MIN(2, SUMPRODUCT((MOD(Streak!C51:Z51,10)=0)*(Streak!C51:Z51&gt;0))) * 20</f>
      </c>
      <c r="AE51" s="19">
        <f>SUM(AC51:AD51)</f>
      </c>
    </row>
    <row customHeight="true" ht="19" r="52">
      <c r="A52" s="23">
        <v>48</v>
      </c>
      <c r="B52" s="22" t="str">
        <v>Tjoei Lan</v>
      </c>
      <c r="C52" s="21">
        <v>0</v>
      </c>
      <c r="D52" s="21">
        <v>1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0</v>
      </c>
      <c r="Y52" s="14">
        <v>0</v>
      </c>
      <c r="Z52" s="14">
        <v>0</v>
      </c>
      <c r="AA52" s="16">
        <f>SUM(C52:Z52)</f>
      </c>
      <c r="AB52" s="17">
        <v>0</v>
      </c>
      <c r="AC52" s="18">
        <f>MIN(3, SUMPRODUCT((MOD(Streak!C52:Z52,5)=0)*(MOD(Streak!C52:Z52,10)&lt;&gt;0)*(Streak!C52:Z52&gt;0))) * 5</f>
      </c>
      <c r="AD52" s="18">
        <f>MIN(2, SUMPRODUCT((MOD(Streak!C52:Z52,10)=0)*(Streak!C52:Z52&gt;0))) * 20</f>
      </c>
      <c r="AE52" s="19">
        <f>SUM(AC52:AD52)</f>
      </c>
    </row>
    <row customHeight="true" ht="19" r="53">
      <c r="A53" s="23">
        <v>49</v>
      </c>
      <c r="B53" s="22" t="str">
        <v>Syamsultan</v>
      </c>
      <c r="C53" s="21">
        <v>0</v>
      </c>
      <c r="D53" s="21">
        <v>1</v>
      </c>
      <c r="E53" s="14">
        <v>0</v>
      </c>
      <c r="F53" s="14">
        <v>1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6">
        <f>SUM(C53:Z53)</f>
      </c>
      <c r="AB53" s="17">
        <v>0</v>
      </c>
      <c r="AC53" s="18">
        <f>MIN(3, SUMPRODUCT((MOD(Streak!C53:Z53,5)=0)*(MOD(Streak!C53:Z53,10)&lt;&gt;0)*(Streak!C53:Z53&gt;0))) * 5</f>
      </c>
      <c r="AD53" s="18">
        <f>MIN(2, SUMPRODUCT((MOD(Streak!C53:Z53,10)=0)*(Streak!C53:Z53&gt;0))) * 20</f>
      </c>
      <c r="AE53" s="19">
        <f>SUM(AC53:AD53)</f>
      </c>
    </row>
    <row customHeight="true" ht="19" r="54">
      <c r="A54" s="23">
        <v>50</v>
      </c>
      <c r="B54" s="22" t="str">
        <v>INDRAWAN</v>
      </c>
      <c r="C54" s="21">
        <v>0</v>
      </c>
      <c r="D54" s="21">
        <v>1</v>
      </c>
      <c r="E54" s="14">
        <v>0</v>
      </c>
      <c r="F54" s="14">
        <v>1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6">
        <f>SUM(C54:Z54)</f>
      </c>
      <c r="AB54" s="17">
        <v>0</v>
      </c>
      <c r="AC54" s="18">
        <f>MIN(3, SUMPRODUCT((MOD(Streak!C54:Z54,5)=0)*(MOD(Streak!C54:Z54,10)&lt;&gt;0)*(Streak!C54:Z54&gt;0))) * 5</f>
      </c>
      <c r="AD54" s="18">
        <f>MIN(2, SUMPRODUCT((MOD(Streak!C54:Z54,10)=0)*(Streak!C54:Z54&gt;0))) * 20</f>
      </c>
      <c r="AE54" s="19">
        <f>SUM(AC54:AD54)</f>
      </c>
    </row>
    <row customHeight="true" ht="19" r="55">
      <c r="A55" s="23">
        <v>51</v>
      </c>
      <c r="B55" s="22" t="str">
        <v>TIYANG SAE</v>
      </c>
      <c r="C55" s="21">
        <v>0</v>
      </c>
      <c r="D55" s="21">
        <v>0</v>
      </c>
      <c r="E55" s="14">
        <v>0</v>
      </c>
      <c r="F55" s="14">
        <v>1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6">
        <f>SUM(C55:Z55)</f>
      </c>
      <c r="AB55" s="17">
        <v>0</v>
      </c>
      <c r="AC55" s="18">
        <f>MIN(3, SUMPRODUCT((MOD(Streak!C55:Z55,5)=0)*(MOD(Streak!C55:Z55,10)&lt;&gt;0)*(Streak!C55:Z55&gt;0))) * 5</f>
      </c>
      <c r="AD55" s="18">
        <f>MIN(2, SUMPRODUCT((MOD(Streak!C55:Z55,10)=0)*(Streak!C55:Z55&gt;0))) * 20</f>
      </c>
      <c r="AE55" s="19">
        <f>SUM(AC55:AD55)</f>
      </c>
    </row>
    <row customHeight="true" ht="19" r="56">
      <c r="A56" s="23">
        <v>52</v>
      </c>
      <c r="B56" s="22" t="str">
        <v>HadriKSD</v>
      </c>
      <c r="C56" s="21">
        <v>0</v>
      </c>
      <c r="D56" s="21">
        <v>0</v>
      </c>
      <c r="E56" s="14">
        <v>0</v>
      </c>
      <c r="F56" s="14">
        <v>1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4">
        <v>0</v>
      </c>
      <c r="Y56" s="14">
        <v>0</v>
      </c>
      <c r="Z56" s="14">
        <v>0</v>
      </c>
      <c r="AA56" s="16">
        <f>SUM(C56:Z56)</f>
      </c>
      <c r="AB56" s="17">
        <v>0</v>
      </c>
      <c r="AC56" s="18">
        <f>MIN(3, SUMPRODUCT((MOD(Streak!C56:Z56,5)=0)*(MOD(Streak!C56:Z56,10)&lt;&gt;0)*(Streak!C56:Z56&gt;0))) * 5</f>
      </c>
      <c r="AD56" s="18">
        <f>MIN(2, SUMPRODUCT((MOD(Streak!C56:Z56,10)=0)*(Streak!C56:Z56&gt;0))) * 20</f>
      </c>
      <c r="AE56" s="19">
        <f>SUM(AC56:AD56)</f>
      </c>
    </row>
    <row customHeight="true" ht="19" r="57">
      <c r="A57" s="23">
        <v>53</v>
      </c>
      <c r="B57" s="22" t="str">
        <v>buy tongka</v>
      </c>
      <c r="C57" s="21">
        <v>0</v>
      </c>
      <c r="D57" s="21">
        <v>0</v>
      </c>
      <c r="E57" s="14">
        <v>0</v>
      </c>
      <c r="F57" s="14">
        <v>1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6">
        <f>SUM(C57:Z57)</f>
      </c>
      <c r="AB57" s="17">
        <v>0</v>
      </c>
      <c r="AC57" s="18">
        <f>MIN(3, SUMPRODUCT((MOD(Streak!C57:Z57,5)=0)*(MOD(Streak!C57:Z57,10)&lt;&gt;0)*(Streak!C57:Z57&gt;0))) * 5</f>
      </c>
      <c r="AD57" s="18">
        <f>MIN(2, SUMPRODUCT((MOD(Streak!C57:Z57,10)=0)*(Streak!C57:Z57&gt;0))) * 20</f>
      </c>
      <c r="AE57" s="19">
        <f>SUM(AC57:AD57)</f>
      </c>
    </row>
    <row customHeight="true" ht="19" r="58">
      <c r="A58" s="23">
        <v>54</v>
      </c>
      <c r="B58" s="22" t="str">
        <v>Gober</v>
      </c>
      <c r="C58" s="21">
        <v>0</v>
      </c>
      <c r="D58" s="21">
        <v>0</v>
      </c>
      <c r="E58" s="14">
        <v>0</v>
      </c>
      <c r="F58" s="14">
        <v>1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6">
        <f>SUM(C58:Z58)</f>
      </c>
      <c r="AB58" s="17">
        <v>0</v>
      </c>
      <c r="AC58" s="18">
        <f>MIN(3, SUMPRODUCT((MOD(Streak!C58:Z58,5)=0)*(MOD(Streak!C58:Z58,10)&lt;&gt;0)*(Streak!C58:Z58&gt;0))) * 5</f>
      </c>
      <c r="AD58" s="18">
        <f>MIN(2, SUMPRODUCT((MOD(Streak!C58:Z58,10)=0)*(Streak!C58:Z58&gt;0))) * 20</f>
      </c>
      <c r="AE58" s="19">
        <f>SUM(AC58:AD58)</f>
      </c>
    </row>
    <row customHeight="true" ht="19" r="59">
      <c r="A59" s="23">
        <v>55</v>
      </c>
      <c r="B59" s="22" t="str">
        <v>caniago</v>
      </c>
      <c r="C59" s="21">
        <v>0</v>
      </c>
      <c r="D59" s="21">
        <v>0</v>
      </c>
      <c r="E59" s="14">
        <v>0</v>
      </c>
      <c r="F59" s="14">
        <v>1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6">
        <f>SUM(C59:Z59)</f>
      </c>
      <c r="AB59" s="17">
        <v>0</v>
      </c>
      <c r="AC59" s="18">
        <f>MIN(3, SUMPRODUCT((MOD(Streak!C59:Z59,5)=0)*(MOD(Streak!C59:Z59,10)&lt;&gt;0)*(Streak!C59:Z59&gt;0))) * 5</f>
      </c>
      <c r="AD59" s="18">
        <f>MIN(2, SUMPRODUCT((MOD(Streak!C59:Z59,10)=0)*(Streak!C59:Z59&gt;0))) * 20</f>
      </c>
      <c r="AE59" s="19">
        <f>SUM(AC59:AD59)</f>
      </c>
    </row>
    <row customHeight="true" ht="19" r="60">
      <c r="A60" s="23">
        <v>56</v>
      </c>
      <c r="B60" s="22" t="str">
        <v>Ana Mega</v>
      </c>
      <c r="C60" s="21">
        <v>0</v>
      </c>
      <c r="D60" s="21">
        <v>0</v>
      </c>
      <c r="E60" s="14">
        <v>0</v>
      </c>
      <c r="F60" s="14">
        <v>1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6">
        <f>SUM(C60:Z60)</f>
      </c>
      <c r="AB60" s="17">
        <v>0</v>
      </c>
      <c r="AC60" s="18">
        <f>MIN(3, SUMPRODUCT((MOD(Streak!C60:Z60,5)=0)*(MOD(Streak!C60:Z60,10)&lt;&gt;0)*(Streak!C60:Z60&gt;0))) * 5</f>
      </c>
      <c r="AD60" s="18">
        <f>MIN(2, SUMPRODUCT((MOD(Streak!C60:Z60,10)=0)*(Streak!C60:Z60&gt;0))) * 20</f>
      </c>
      <c r="AE60" s="19">
        <f>SUM(AC60:AD60)</f>
      </c>
    </row>
    <row customHeight="true" ht="19" r="61">
      <c r="A61" s="23">
        <v>57</v>
      </c>
      <c r="B61" s="22" t="str">
        <v>anasta</v>
      </c>
      <c r="C61" s="21">
        <v>0</v>
      </c>
      <c r="D61" s="21">
        <v>0</v>
      </c>
      <c r="E61" s="14">
        <v>0</v>
      </c>
      <c r="F61" s="14">
        <v>1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6">
        <f>SUM(C61:Z61)</f>
      </c>
      <c r="AB61" s="17">
        <v>0</v>
      </c>
      <c r="AC61" s="18">
        <f>MIN(3, SUMPRODUCT((MOD(Streak!C61:Z61,5)=0)*(MOD(Streak!C61:Z61,10)&lt;&gt;0)*(Streak!C61:Z61&gt;0))) * 5</f>
      </c>
      <c r="AD61" s="18">
        <f>MIN(2, SUMPRODUCT((MOD(Streak!C61:Z61,10)=0)*(Streak!C61:Z61&gt;0))) * 20</f>
      </c>
      <c r="AE61" s="19">
        <f>SUM(AC61:AD61)</f>
      </c>
    </row>
    <row customHeight="true" ht="19" r="62">
      <c r="A62" s="23">
        <v>58</v>
      </c>
      <c r="B62" s="22" t="str">
        <v>Kurnia</v>
      </c>
      <c r="C62" s="21">
        <v>0</v>
      </c>
      <c r="D62" s="21">
        <v>0</v>
      </c>
      <c r="E62" s="14">
        <v>0</v>
      </c>
      <c r="F62" s="14">
        <v>1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6">
        <f>SUM(C62:Z62)</f>
      </c>
      <c r="AB62" s="17">
        <v>0</v>
      </c>
      <c r="AC62" s="18">
        <f>MIN(3, SUMPRODUCT((MOD(Streak!C63:Z63,5)=0)*(MOD(Streak!C63:Z63,10)&lt;&gt;0)*(Streak!C63:Z63&gt;0))) * 5</f>
      </c>
      <c r="AD62" s="18">
        <f>MIN(2, SUMPRODUCT((MOD(Streak!C63:Z63,10)=0)*(Streak!C63:Z63&gt;0))) * 20</f>
      </c>
      <c r="AE62" s="19">
        <f>SUM(AC62:AD62)</f>
      </c>
    </row>
    <row customHeight="true" ht="19" r="63">
      <c r="A63" s="23">
        <v>59</v>
      </c>
      <c r="B63" s="22" t="str">
        <v>Yura Audi</v>
      </c>
      <c r="C63" s="21">
        <v>0</v>
      </c>
      <c r="D63" s="21">
        <v>0</v>
      </c>
      <c r="E63" s="14">
        <v>0</v>
      </c>
      <c r="F63" s="14">
        <v>1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6">
        <f>SUM(C63:Z63)</f>
      </c>
      <c r="AB63" s="17">
        <v>0</v>
      </c>
      <c r="AC63" s="18">
        <f>MIN(3, SUMPRODUCT((MOD(Streak!C64:Z64,5)=0)*(MOD(Streak!C64:Z64,10)&lt;&gt;0)*(Streak!C64:Z64&gt;0))) * 5</f>
      </c>
      <c r="AD63" s="18">
        <f>MIN(2, SUMPRODUCT((MOD(Streak!C64:Z64,10)=0)*(Streak!C64:Z64&gt;0))) * 20</f>
      </c>
      <c r="AE63" s="19">
        <f>SUM(AC63:AD63)</f>
      </c>
    </row>
    <row customHeight="true" ht="19" r="64">
      <c r="A64" s="23">
        <v>60</v>
      </c>
      <c r="B64" s="22" t="str">
        <v>Liang</v>
      </c>
      <c r="C64" s="21">
        <v>0</v>
      </c>
      <c r="D64" s="21">
        <v>0</v>
      </c>
      <c r="E64" s="14">
        <v>0</v>
      </c>
      <c r="F64" s="14">
        <v>1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6">
        <f>SUM(C64:Z64)</f>
      </c>
      <c r="AB64" s="17"/>
      <c r="AC64" s="18"/>
      <c r="AD64" s="18"/>
      <c r="AE64" s="19"/>
    </row>
    <row customHeight="true" ht="19" r="65">
      <c r="A65" s="23">
        <v>61</v>
      </c>
      <c r="B65" s="22" t="str">
        <v>Abu21</v>
      </c>
      <c r="C65" s="14">
        <v>0</v>
      </c>
      <c r="D65" s="14">
        <v>0</v>
      </c>
      <c r="E65" s="14">
        <v>0</v>
      </c>
      <c r="F65" s="14">
        <v>1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6">
        <f>SUM(C65:Z65)</f>
      </c>
      <c r="AB65" s="17"/>
      <c r="AC65" s="18"/>
      <c r="AD65" s="18"/>
      <c r="AE65" s="19"/>
    </row>
    <row customHeight="true" ht="19" r="66">
      <c r="A66" s="23">
        <v>62</v>
      </c>
      <c r="B66" s="22" t="str">
        <v>Cuan XRP</v>
      </c>
      <c r="C66" s="14">
        <v>0</v>
      </c>
      <c r="D66" s="14">
        <v>0</v>
      </c>
      <c r="E66" s="14">
        <v>0</v>
      </c>
      <c r="F66" s="14">
        <v>1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6">
        <f>SUM(C66:Z66)</f>
      </c>
      <c r="AB66" s="17"/>
      <c r="AC66" s="18"/>
      <c r="AD66" s="18"/>
      <c r="AE66" s="19"/>
    </row>
    <row customHeight="true" ht="19" r="67">
      <c r="A67" s="23">
        <v>63</v>
      </c>
      <c r="B67" s="22" t="str">
        <v>dad_MudR€_$</v>
      </c>
      <c r="C67" s="14">
        <v>0</v>
      </c>
      <c r="D67" s="14">
        <v>0</v>
      </c>
      <c r="E67" s="14">
        <v>0</v>
      </c>
      <c r="F67" s="14">
        <v>1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6">
        <f>SUM(C67:Z67)</f>
      </c>
      <c r="AB67" s="17"/>
      <c r="AC67" s="18"/>
      <c r="AD67" s="18"/>
      <c r="AE67" s="19"/>
    </row>
    <row customHeight="true" ht="19" r="68">
      <c r="A68" s="23">
        <v>64</v>
      </c>
      <c r="B68" s="22" t="str" xml:space="preserve">
        <v>TakeProfit </v>
      </c>
      <c r="C68" s="14">
        <v>0</v>
      </c>
      <c r="D68" s="14">
        <v>0</v>
      </c>
      <c r="E68" s="14">
        <v>0</v>
      </c>
      <c r="F68" s="14">
        <v>1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6">
        <f>SUM(C68:Z68)</f>
      </c>
      <c r="AB68" s="17"/>
      <c r="AC68" s="18"/>
      <c r="AD68" s="18"/>
      <c r="AE68" s="19"/>
    </row>
    <row customHeight="true" ht="19" r="69">
      <c r="A69" s="23">
        <v>65</v>
      </c>
      <c r="B69" s="22"/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6">
        <f>SUM(C69:Z69)</f>
      </c>
      <c r="AB69" s="17"/>
      <c r="AC69" s="18"/>
      <c r="AD69" s="18"/>
      <c r="AE69" s="19"/>
    </row>
    <row customHeight="true" ht="19" r="70">
      <c r="A70" s="23">
        <v>66</v>
      </c>
      <c r="B70" s="22"/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6">
        <f>SUM(C70:Z70)</f>
      </c>
      <c r="AB70" s="17"/>
      <c r="AC70" s="18"/>
      <c r="AD70" s="18"/>
      <c r="AE70" s="19"/>
    </row>
    <row customHeight="true" ht="19" r="71">
      <c r="A71" s="23">
        <v>67</v>
      </c>
      <c r="B71" s="22"/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6">
        <f>SUM(C71:Z71)</f>
      </c>
      <c r="AB71" s="17"/>
      <c r="AC71" s="18"/>
      <c r="AD71" s="18"/>
      <c r="AE71" s="19"/>
    </row>
    <row customHeight="true" ht="19" r="72">
      <c r="A72" s="23">
        <v>68</v>
      </c>
      <c r="B72" s="22"/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6">
        <f>SUM(C72:Z72)</f>
      </c>
      <c r="AB72" s="17"/>
      <c r="AC72" s="18"/>
      <c r="AD72" s="18"/>
      <c r="AE72" s="19"/>
    </row>
    <row customHeight="true" ht="19" r="73">
      <c r="A73" s="23">
        <v>69</v>
      </c>
      <c r="B73" s="22"/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6">
        <f>SUM(C73:Z73)</f>
      </c>
      <c r="AB73" s="17"/>
      <c r="AC73" s="18"/>
      <c r="AD73" s="18"/>
      <c r="AE73" s="19"/>
    </row>
    <row customHeight="true" ht="19" r="74">
      <c r="A74" s="23">
        <v>70</v>
      </c>
      <c r="B74" s="22"/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6">
        <f>SUM(C74:Z74)</f>
      </c>
      <c r="AB74" s="17"/>
      <c r="AC74" s="18"/>
      <c r="AD74" s="18"/>
      <c r="AE74" s="19"/>
    </row>
    <row customHeight="true" ht="19" r="75">
      <c r="A75" s="23">
        <v>71</v>
      </c>
      <c r="B75" s="22"/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6">
        <f>SUM(C75:Z75)</f>
      </c>
      <c r="AB75" s="17"/>
      <c r="AC75" s="18"/>
      <c r="AD75" s="18"/>
      <c r="AE75" s="19"/>
    </row>
    <row customHeight="true" ht="19" r="76">
      <c r="A76" s="23">
        <v>72</v>
      </c>
      <c r="B76" s="22"/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6">
        <f>SUM(C76:Z76)</f>
      </c>
      <c r="AB76" s="17"/>
      <c r="AC76" s="18"/>
      <c r="AD76" s="18"/>
      <c r="AE76" s="19"/>
    </row>
    <row customHeight="true" ht="19" r="77">
      <c r="A77" s="23">
        <v>73</v>
      </c>
      <c r="B77" s="22"/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6">
        <f>SUM(C77:Z77)</f>
      </c>
      <c r="AB77" s="17"/>
      <c r="AC77" s="18"/>
      <c r="AD77" s="18"/>
      <c r="AE77" s="19"/>
    </row>
    <row customHeight="true" ht="19" r="78">
      <c r="A78" s="23">
        <v>74</v>
      </c>
      <c r="B78" s="22"/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6">
        <f>SUM(C78:Z78)</f>
      </c>
      <c r="AB78" s="17"/>
      <c r="AC78" s="18"/>
      <c r="AD78" s="18"/>
      <c r="AE78" s="19"/>
    </row>
    <row customHeight="true" ht="19" r="79">
      <c r="A79" s="23">
        <v>75</v>
      </c>
      <c r="B79" s="22"/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6">
        <f>SUM(C79:Z79)</f>
      </c>
      <c r="AB79" s="17"/>
      <c r="AC79" s="18"/>
      <c r="AD79" s="18"/>
      <c r="AE79" s="19"/>
    </row>
    <row customHeight="true" ht="19" r="80">
      <c r="A80" s="23">
        <v>76</v>
      </c>
      <c r="B80" s="22"/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6">
        <f>SUM(C80:Z80)</f>
      </c>
      <c r="AB80" s="17"/>
      <c r="AC80" s="18"/>
      <c r="AD80" s="18"/>
      <c r="AE80" s="19"/>
    </row>
    <row customHeight="true" ht="19" r="81">
      <c r="A81" s="23">
        <v>77</v>
      </c>
      <c r="B81" s="22"/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6">
        <f>SUM(C81:Z81)</f>
      </c>
      <c r="AB81" s="17"/>
      <c r="AC81" s="18"/>
      <c r="AD81" s="18"/>
      <c r="AE81" s="19"/>
    </row>
    <row customHeight="true" ht="19" r="82">
      <c r="A82" s="23">
        <v>78</v>
      </c>
      <c r="B82" s="22"/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6">
        <f>SUM(C82:Z82)</f>
      </c>
      <c r="AB82" s="17"/>
      <c r="AC82" s="18"/>
      <c r="AD82" s="18"/>
      <c r="AE82" s="19"/>
    </row>
    <row customHeight="true" ht="19" r="83">
      <c r="A83" s="23">
        <v>79</v>
      </c>
      <c r="B83" s="22"/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6">
        <f>SUM(C83:Z83)</f>
      </c>
      <c r="AB83" s="17"/>
      <c r="AC83" s="18"/>
      <c r="AD83" s="18"/>
      <c r="AE83" s="19"/>
    </row>
    <row customHeight="true" ht="19" r="84">
      <c r="A84" s="23">
        <v>80</v>
      </c>
      <c r="B84" s="22"/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6">
        <f>SUM(C84:Z84)</f>
      </c>
      <c r="AB84" s="17"/>
      <c r="AC84" s="18"/>
      <c r="AD84" s="18"/>
      <c r="AE84" s="19"/>
    </row>
    <row customHeight="true" ht="19" r="85">
      <c r="A85" s="23">
        <v>81</v>
      </c>
      <c r="B85" s="22"/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6">
        <f>SUM(C85:Z85)</f>
      </c>
      <c r="AB85" s="17"/>
      <c r="AC85" s="18"/>
      <c r="AD85" s="18"/>
      <c r="AE85" s="19"/>
    </row>
    <row customHeight="true" ht="19" r="86">
      <c r="A86" s="23">
        <v>82</v>
      </c>
      <c r="B86" s="22"/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4">
        <v>0</v>
      </c>
      <c r="Y86" s="14">
        <v>0</v>
      </c>
      <c r="Z86" s="14">
        <v>0</v>
      </c>
      <c r="AA86" s="16">
        <f>SUM(C86:Z86)</f>
      </c>
      <c r="AB86" s="17"/>
      <c r="AC86" s="18"/>
      <c r="AD86" s="18"/>
      <c r="AE86" s="19"/>
    </row>
    <row customHeight="true" ht="19" r="87">
      <c r="A87" s="23">
        <v>83</v>
      </c>
      <c r="B87" s="22"/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6">
        <f>SUM(C87:Z87)</f>
      </c>
      <c r="AB87" s="17"/>
      <c r="AC87" s="18"/>
      <c r="AD87" s="18"/>
      <c r="AE87" s="19"/>
    </row>
    <row customHeight="true" ht="19" r="88">
      <c r="A88" s="23">
        <v>84</v>
      </c>
      <c r="B88" s="22"/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6">
        <f>SUM(C88:Z88)</f>
      </c>
      <c r="AB88" s="17"/>
      <c r="AC88" s="18"/>
      <c r="AD88" s="18"/>
      <c r="AE88" s="19"/>
    </row>
    <row customHeight="true" ht="19" r="89">
      <c r="A89" s="23">
        <v>85</v>
      </c>
      <c r="B89" s="22"/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6">
        <f>SUM(C89:Z89)</f>
      </c>
      <c r="AB89" s="17"/>
      <c r="AC89" s="18"/>
      <c r="AD89" s="18"/>
      <c r="AE89" s="19"/>
    </row>
    <row customHeight="true" ht="19" r="90">
      <c r="A90" s="23">
        <v>86</v>
      </c>
      <c r="B90" s="22"/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6">
        <f>SUM(C90:Z90)</f>
      </c>
      <c r="AB90" s="17"/>
      <c r="AC90" s="18"/>
      <c r="AD90" s="18"/>
      <c r="AE90" s="19"/>
    </row>
    <row customHeight="true" ht="19" r="91">
      <c r="A91" s="23">
        <v>87</v>
      </c>
      <c r="B91" s="22"/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6">
        <f>SUM(C91:Z91)</f>
      </c>
      <c r="AB91" s="17"/>
      <c r="AC91" s="18"/>
      <c r="AD91" s="18"/>
      <c r="AE91" s="19"/>
    </row>
    <row customHeight="true" ht="19" r="92">
      <c r="A92" s="23">
        <v>88</v>
      </c>
      <c r="B92" s="22"/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6">
        <f>SUM(C92:Z92)</f>
      </c>
      <c r="AB92" s="17"/>
      <c r="AC92" s="18"/>
      <c r="AD92" s="18"/>
      <c r="AE92" s="19"/>
    </row>
    <row customHeight="true" ht="19" r="93">
      <c r="A93" s="23">
        <v>89</v>
      </c>
      <c r="B93" s="22"/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6">
        <f>SUM(C93:Z93)</f>
      </c>
      <c r="AB93" s="17"/>
      <c r="AC93" s="18"/>
      <c r="AD93" s="18"/>
      <c r="AE93" s="19"/>
    </row>
    <row customHeight="true" ht="19" r="94">
      <c r="A94" s="23">
        <v>90</v>
      </c>
      <c r="B94" s="22"/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6">
        <f>SUM(C94:Z94)</f>
      </c>
      <c r="AB94" s="17"/>
      <c r="AC94" s="18"/>
      <c r="AD94" s="18"/>
      <c r="AE94" s="19"/>
    </row>
    <row customHeight="true" ht="19" r="95">
      <c r="A95" s="23">
        <v>91</v>
      </c>
      <c r="B95" s="22"/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6">
        <f>SUM(C95:Z95)</f>
      </c>
      <c r="AB95" s="17"/>
      <c r="AC95" s="18"/>
      <c r="AD95" s="18"/>
      <c r="AE95" s="19"/>
    </row>
    <row customHeight="true" ht="19" r="96">
      <c r="A96" s="23">
        <v>92</v>
      </c>
      <c r="B96" s="22"/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6">
        <f>SUM(C96:Z96)</f>
      </c>
      <c r="AB96" s="17"/>
      <c r="AC96" s="18"/>
      <c r="AD96" s="18"/>
      <c r="AE96" s="19"/>
    </row>
    <row customHeight="true" ht="19" r="97">
      <c r="A97" s="23">
        <v>93</v>
      </c>
      <c r="B97" s="22"/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6">
        <f>SUM(C97:Z97)</f>
      </c>
      <c r="AB97" s="17"/>
      <c r="AC97" s="18"/>
      <c r="AD97" s="18"/>
      <c r="AE97" s="19"/>
    </row>
    <row customHeight="true" ht="19" r="98">
      <c r="A98" s="23">
        <v>94</v>
      </c>
      <c r="B98" s="22"/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6">
        <f>SUM(C98:Z98)</f>
      </c>
      <c r="AB98" s="17"/>
      <c r="AC98" s="18"/>
      <c r="AD98" s="18"/>
      <c r="AE98" s="19"/>
    </row>
    <row customHeight="true" ht="19" r="99">
      <c r="A99" s="23">
        <v>95</v>
      </c>
      <c r="B99" s="22"/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6">
        <f>SUM(C99:Z99)</f>
      </c>
      <c r="AB99" s="17"/>
      <c r="AC99" s="18"/>
      <c r="AD99" s="18"/>
      <c r="AE99" s="19"/>
    </row>
    <row customHeight="true" ht="19" r="100">
      <c r="A100" s="23">
        <v>96</v>
      </c>
      <c r="B100" s="22"/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6">
        <f>SUM(C100:Z100)</f>
      </c>
      <c r="AB100" s="17"/>
      <c r="AC100" s="18"/>
      <c r="AD100" s="18"/>
      <c r="AE100" s="19"/>
    </row>
    <row customHeight="true" ht="19" r="101">
      <c r="A101" s="23">
        <v>97</v>
      </c>
      <c r="B101" s="22"/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6">
        <f>SUM(C101:Z101)</f>
      </c>
      <c r="AB101" s="17"/>
      <c r="AC101" s="18"/>
      <c r="AD101" s="18"/>
      <c r="AE101" s="19"/>
    </row>
    <row customHeight="true" ht="19" r="102">
      <c r="A102" s="23">
        <v>98</v>
      </c>
      <c r="B102" s="22"/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6">
        <f>SUM(C102:Z102)</f>
      </c>
      <c r="AB102" s="17"/>
      <c r="AC102" s="18"/>
      <c r="AD102" s="18"/>
      <c r="AE102" s="19"/>
    </row>
    <row customHeight="true" ht="19" r="103">
      <c r="A103" s="23">
        <v>99</v>
      </c>
      <c r="B103" s="22"/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6">
        <f>SUM(C103:Z103)</f>
      </c>
      <c r="AB103" s="17"/>
      <c r="AC103" s="18"/>
      <c r="AD103" s="18"/>
      <c r="AE103" s="19"/>
    </row>
    <row customHeight="true" ht="19" r="104">
      <c r="A104" s="23">
        <v>100</v>
      </c>
      <c r="B104" s="22"/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6">
        <f>SUM(C104:Z104)</f>
      </c>
      <c r="AB104" s="17"/>
      <c r="AC104" s="18"/>
      <c r="AD104" s="18"/>
      <c r="AE104" s="19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3" t="str">
        <v>MEMBER</v>
      </c>
      <c r="B2" s="3"/>
      <c r="C2" s="2">
        <v>46111</v>
      </c>
      <c r="D2" s="2">
        <v>46112</v>
      </c>
      <c r="E2" s="2">
        <v>46113</v>
      </c>
      <c r="F2" s="2">
        <v>46114</v>
      </c>
      <c r="G2" s="2">
        <v>46115</v>
      </c>
      <c r="H2" s="2">
        <v>46118</v>
      </c>
      <c r="I2" s="2">
        <v>46119</v>
      </c>
      <c r="J2" s="2">
        <v>46120</v>
      </c>
      <c r="K2" s="2">
        <v>46121</v>
      </c>
      <c r="L2" s="2">
        <v>46122</v>
      </c>
      <c r="M2" s="2">
        <v>46125</v>
      </c>
      <c r="N2" s="2">
        <v>46126</v>
      </c>
      <c r="O2" s="2">
        <v>46127</v>
      </c>
      <c r="P2" s="2">
        <v>46128</v>
      </c>
      <c r="Q2" s="2">
        <v>46129</v>
      </c>
      <c r="R2" s="2">
        <v>46132</v>
      </c>
      <c r="S2" s="2">
        <v>46133</v>
      </c>
      <c r="T2" s="2">
        <v>46134</v>
      </c>
      <c r="U2" s="2">
        <v>46135</v>
      </c>
      <c r="V2" s="2">
        <v>46136</v>
      </c>
      <c r="W2" s="2">
        <v>46139</v>
      </c>
      <c r="X2" s="2">
        <v>46140</v>
      </c>
      <c r="Y2" s="2">
        <v>46141</v>
      </c>
      <c r="Z2" s="2">
        <v>46142</v>
      </c>
      <c r="AA2" s="5" t="str">
        <v>Total
Tiket</v>
      </c>
      <c r="AB2" s="4" t="str">
        <v>Streak
(manual)</v>
      </c>
      <c r="AC2" s="6" t="s">
        <v>2</v>
      </c>
      <c r="AD2" s="6" t="s">
        <v>1</v>
      </c>
      <c r="AE2" s="7" t="s">
        <v>3</v>
      </c>
      <c r="AF2" s="35" t="s">
        <v>4</v>
      </c>
    </row>
    <row r="3">
      <c r="A3" s="3"/>
      <c r="B3" s="3"/>
      <c r="C3" s="11" t="str">
        <v>Sen</v>
      </c>
      <c r="D3" s="11" t="str">
        <v>Sel</v>
      </c>
      <c r="E3" s="11" t="str">
        <v>Rab</v>
      </c>
      <c r="F3" s="11" t="str">
        <v>Kam</v>
      </c>
      <c r="G3" s="11" t="str">
        <v>Jum</v>
      </c>
      <c r="H3" s="11" t="str">
        <v>Sen</v>
      </c>
      <c r="I3" s="11" t="str">
        <v>Sel</v>
      </c>
      <c r="J3" s="11" t="str">
        <v>Rab</v>
      </c>
      <c r="K3" s="11" t="str">
        <v>Kam</v>
      </c>
      <c r="L3" s="11" t="str">
        <v>Jum</v>
      </c>
      <c r="M3" s="11" t="str">
        <v>Sen</v>
      </c>
      <c r="N3" s="11" t="str">
        <v>Sel</v>
      </c>
      <c r="O3" s="11" t="str">
        <v>Rab</v>
      </c>
      <c r="P3" s="11" t="str">
        <v>Kam</v>
      </c>
      <c r="Q3" s="11" t="str">
        <v>Jum</v>
      </c>
      <c r="R3" s="11" t="str">
        <v>Sen</v>
      </c>
      <c r="S3" s="11" t="str">
        <v>Sel</v>
      </c>
      <c r="T3" s="11" t="str">
        <v>Rab</v>
      </c>
      <c r="U3" s="11" t="str">
        <v>Kam</v>
      </c>
      <c r="V3" s="11" t="str">
        <v>Jum</v>
      </c>
      <c r="W3" s="11" t="str">
        <v>Sen</v>
      </c>
      <c r="X3" s="11" t="str">
        <v>Sel</v>
      </c>
      <c r="Y3" s="11" t="str">
        <v>Rab</v>
      </c>
      <c r="Z3" s="11" t="str">
        <v>Kam</v>
      </c>
      <c r="AA3" s="5"/>
      <c r="AB3" s="4"/>
      <c r="AC3" s="6"/>
      <c r="AD3" s="6"/>
      <c r="AE3" s="7"/>
      <c r="AF3" s="35"/>
    </row>
    <row r="4">
      <c r="A4" s="9" t="str">
        <v>
</v>
      </c>
      <c r="B4" s="10" t="str">
        <v>TOTAL</v>
      </c>
      <c r="C4" s="39">
        <f>SUM(C5:C64)</f>
      </c>
      <c r="D4" s="8">
        <f>SUM(D5:D64)</f>
      </c>
      <c r="E4" s="8">
        <f>SUM(E5:E64)</f>
      </c>
      <c r="F4" s="8">
        <f>SUM(F5:F64)</f>
      </c>
      <c r="G4" s="8">
        <f>SUM(G5:G64)</f>
      </c>
      <c r="H4" s="8">
        <f>SUM(H5:H64)</f>
      </c>
      <c r="I4" s="8">
        <f>SUM(I5:I64)</f>
      </c>
      <c r="J4" s="8">
        <f>SUM(J5:J64)</f>
      </c>
      <c r="K4" s="8">
        <f>SUM(K5:K64)</f>
      </c>
      <c r="L4" s="8">
        <f>SUM(L5:L64)</f>
      </c>
      <c r="M4" s="8">
        <f>SUM(M5:M64)</f>
      </c>
      <c r="N4" s="8">
        <f>SUM(N5:N64)</f>
      </c>
      <c r="O4" s="8">
        <f>SUM(O5:O64)</f>
      </c>
      <c r="P4" s="8">
        <f>SUM(P5:P64)</f>
      </c>
      <c r="Q4" s="8">
        <f>SUM(Q5:Q64)</f>
      </c>
      <c r="R4" s="8">
        <f>SUM(R5:R64)</f>
      </c>
      <c r="S4" s="8">
        <f>SUM(S5:S64)</f>
      </c>
      <c r="T4" s="8">
        <f>SUM(T5:T64)</f>
      </c>
      <c r="U4" s="8">
        <f>SUM(U5:U64)</f>
      </c>
      <c r="V4" s="8">
        <f>SUM(V5:V64)</f>
      </c>
      <c r="W4" s="8">
        <f>SUM(W5:W64)</f>
      </c>
      <c r="X4" s="8">
        <f>SUM(X5:X64)</f>
      </c>
      <c r="Y4" s="8">
        <f>SUM(Y5:Y64)</f>
      </c>
      <c r="Z4" s="8">
        <f>SUM(Z5:Z64)</f>
      </c>
      <c r="AA4" s="8">
        <f>SUM(AA5:AA64)</f>
      </c>
      <c r="AB4" s="38" t="str">
        <v>
</v>
      </c>
      <c r="AC4" s="38" t="str">
        <v>
</v>
      </c>
      <c r="AD4" s="38" t="str">
        <v>
</v>
      </c>
      <c r="AE4" s="37">
        <v>0</v>
      </c>
      <c r="AF4" s="36"/>
    </row>
    <row r="5">
      <c r="A5" s="20">
        <v>1</v>
      </c>
      <c r="B5" s="31" t="str">
        <v>Radensaleh</v>
      </c>
      <c r="C5" s="27">
        <f>IF('List Ticket'!C5=1, 1, 0)</f>
      </c>
      <c r="D5" s="26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9">
        <f>SUM(C5:Z5)</f>
      </c>
      <c r="AB5" s="32">
        <v>1</v>
      </c>
      <c r="AC5" s="33">
        <v>0</v>
      </c>
      <c r="AD5" s="33">
        <v>0</v>
      </c>
      <c r="AE5" s="34">
        <v>0</v>
      </c>
      <c r="AF5" s="30">
        <v>1</v>
      </c>
    </row>
    <row r="6">
      <c r="A6" s="20">
        <v>2</v>
      </c>
      <c r="B6" s="31" t="str">
        <v>Chepot</v>
      </c>
      <c r="C6" s="27">
        <f>IF('List Ticket'!C6=1, 1, 0)</f>
      </c>
      <c r="D6" s="26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9">
        <f>SUM(C6:Z6)</f>
      </c>
      <c r="AB6" s="32">
        <v>1</v>
      </c>
      <c r="AC6" s="33">
        <v>0</v>
      </c>
      <c r="AD6" s="33">
        <v>0</v>
      </c>
      <c r="AE6" s="34">
        <v>0</v>
      </c>
      <c r="AF6" s="30">
        <v>1</v>
      </c>
    </row>
    <row r="7">
      <c r="A7" s="20">
        <v>3</v>
      </c>
      <c r="B7" s="31" t="str">
        <v>irvin_1548314</v>
      </c>
      <c r="C7" s="27">
        <f>IF('List Ticket'!C7=1, 1, 0)</f>
      </c>
      <c r="D7" s="26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9">
        <f>SUM(C7:Z7)</f>
      </c>
      <c r="AB7" s="32">
        <v>1</v>
      </c>
      <c r="AC7" s="33">
        <v>0</v>
      </c>
      <c r="AD7" s="33">
        <v>0</v>
      </c>
      <c r="AE7" s="34">
        <v>0</v>
      </c>
      <c r="AF7" s="30">
        <v>1</v>
      </c>
    </row>
    <row r="8">
      <c r="A8" s="20">
        <v>4</v>
      </c>
      <c r="B8" s="31" t="str">
        <v>efrio</v>
      </c>
      <c r="C8" s="27">
        <f>IF('List Ticket'!C8=1, 1, 0)</f>
      </c>
      <c r="D8" s="26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9">
        <f>SUM(C8:Z8)</f>
      </c>
      <c r="AB8" s="32">
        <v>1</v>
      </c>
      <c r="AC8" s="33">
        <v>0</v>
      </c>
      <c r="AD8" s="33">
        <v>0</v>
      </c>
      <c r="AE8" s="34">
        <v>0</v>
      </c>
      <c r="AF8" s="30">
        <v>1</v>
      </c>
    </row>
    <row r="9">
      <c r="A9" s="20">
        <v>5</v>
      </c>
      <c r="B9" s="31" t="str">
        <v>yupid</v>
      </c>
      <c r="C9" s="27">
        <f>IF('List Ticket'!C9=1, 1, 0)</f>
      </c>
      <c r="D9" s="26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9">
        <f>SUM(C9:Z9)</f>
      </c>
      <c r="AB9" s="32">
        <v>1</v>
      </c>
      <c r="AC9" s="33">
        <v>0</v>
      </c>
      <c r="AD9" s="33">
        <v>0</v>
      </c>
      <c r="AE9" s="34">
        <v>0</v>
      </c>
      <c r="AF9" s="30">
        <v>1</v>
      </c>
    </row>
    <row r="10">
      <c r="A10" s="20">
        <v>6</v>
      </c>
      <c r="B10" s="31" t="str">
        <v>kilek</v>
      </c>
      <c r="C10" s="27">
        <f>IF('List Ticket'!C10=1, 1, 0)</f>
      </c>
      <c r="D10" s="26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9">
        <f>SUM(C10:Z10)</f>
      </c>
      <c r="AB10" s="32">
        <v>1</v>
      </c>
      <c r="AC10" s="33">
        <v>0</v>
      </c>
      <c r="AD10" s="33">
        <v>0</v>
      </c>
      <c r="AE10" s="34">
        <v>0</v>
      </c>
      <c r="AF10" s="30">
        <v>1</v>
      </c>
    </row>
    <row r="11">
      <c r="A11" s="20">
        <v>7</v>
      </c>
      <c r="B11" s="31" t="str">
        <v>Profit</v>
      </c>
      <c r="C11" s="27">
        <f>IF('List Ticket'!C11=1, 1, 0)</f>
      </c>
      <c r="D11" s="26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9">
        <f>SUM(C11:Z11)</f>
      </c>
      <c r="AB11" s="32">
        <v>1</v>
      </c>
      <c r="AC11" s="33">
        <v>0</v>
      </c>
      <c r="AD11" s="33">
        <v>0</v>
      </c>
      <c r="AE11" s="34">
        <v>0</v>
      </c>
      <c r="AF11" s="30">
        <v>1</v>
      </c>
    </row>
    <row r="12">
      <c r="A12" s="20">
        <v>8</v>
      </c>
      <c r="B12" s="31" t="str">
        <v>R389</v>
      </c>
      <c r="C12" s="27">
        <f>IF('List Ticket'!C12=1, 1, 0)</f>
      </c>
      <c r="D12" s="26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9">
        <f>SUM(C12:Z12)</f>
      </c>
      <c r="AB12" s="32">
        <v>1</v>
      </c>
      <c r="AC12" s="33">
        <v>0</v>
      </c>
      <c r="AD12" s="33">
        <v>0</v>
      </c>
      <c r="AE12" s="34">
        <v>0</v>
      </c>
      <c r="AF12" s="30">
        <v>1</v>
      </c>
    </row>
    <row r="13">
      <c r="A13" s="20">
        <v>9</v>
      </c>
      <c r="B13" s="31" t="str">
        <v>Egen</v>
      </c>
      <c r="C13" s="27">
        <f>IF('List Ticket'!C13=1, 1, 0)</f>
      </c>
      <c r="D13" s="26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9">
        <f>SUM(C13:Z13)</f>
      </c>
      <c r="AB13" s="32">
        <v>1</v>
      </c>
      <c r="AC13" s="33">
        <v>0</v>
      </c>
      <c r="AD13" s="33">
        <v>0</v>
      </c>
      <c r="AE13" s="34">
        <v>0</v>
      </c>
      <c r="AF13" s="30">
        <v>1</v>
      </c>
    </row>
    <row r="14">
      <c r="A14" s="20">
        <v>10</v>
      </c>
      <c r="B14" s="31" t="str">
        <v>JADE KING</v>
      </c>
      <c r="C14" s="27">
        <f>IF('List Ticket'!C14=1, 1, 0)</f>
      </c>
      <c r="D14" s="26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9">
        <f>SUM(C14:Z14)</f>
      </c>
      <c r="AB14" s="32">
        <v>1</v>
      </c>
      <c r="AC14" s="33">
        <v>0</v>
      </c>
      <c r="AD14" s="33">
        <v>0</v>
      </c>
      <c r="AE14" s="34">
        <v>0</v>
      </c>
      <c r="AF14" s="30">
        <v>1</v>
      </c>
    </row>
    <row r="15">
      <c r="A15" s="20">
        <v>11</v>
      </c>
      <c r="B15" s="31" t="str">
        <v>AV</v>
      </c>
      <c r="C15" s="27">
        <f>IF('List Ticket'!C15=1, 1, 0)</f>
      </c>
      <c r="D15" s="26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9">
        <f>SUM(C15:Z15)</f>
      </c>
      <c r="AB15" s="32">
        <v>1</v>
      </c>
      <c r="AC15" s="33">
        <v>0</v>
      </c>
      <c r="AD15" s="33">
        <v>0</v>
      </c>
      <c r="AE15" s="34">
        <v>0</v>
      </c>
      <c r="AF15" s="30">
        <v>1</v>
      </c>
    </row>
    <row r="16">
      <c r="A16" s="20">
        <v>12</v>
      </c>
      <c r="B16" s="31" t="str">
        <v>Yul Riadi</v>
      </c>
      <c r="C16" s="27">
        <f>IF('List Ticket'!C16=1, 1, 0)</f>
      </c>
      <c r="D16" s="26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9">
        <f>SUM(C16:Z16)</f>
      </c>
      <c r="AB16" s="32">
        <v>1</v>
      </c>
      <c r="AC16" s="33">
        <v>0</v>
      </c>
      <c r="AD16" s="33">
        <v>0</v>
      </c>
      <c r="AE16" s="34">
        <v>0</v>
      </c>
      <c r="AF16" s="30">
        <v>1</v>
      </c>
    </row>
    <row r="17">
      <c r="A17" s="20">
        <v>13</v>
      </c>
      <c r="B17" s="31" t="str">
        <v>BSMLH_CUAN</v>
      </c>
      <c r="C17" s="27">
        <f>IF('List Ticket'!C17=1, 1, 0)</f>
      </c>
      <c r="D17" s="26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9">
        <f>SUM(C17:Z17)</f>
      </c>
      <c r="AB17" s="32">
        <v>1</v>
      </c>
      <c r="AC17" s="33">
        <v>0</v>
      </c>
      <c r="AD17" s="33">
        <v>0</v>
      </c>
      <c r="AE17" s="34">
        <v>0</v>
      </c>
      <c r="AF17" s="30">
        <v>1</v>
      </c>
    </row>
    <row r="18">
      <c r="A18" s="20">
        <v>14</v>
      </c>
      <c r="B18" s="31" t="str">
        <v>Maya</v>
      </c>
      <c r="C18" s="27">
        <f>IF('List Ticket'!C18=1, 1, 0)</f>
      </c>
      <c r="D18" s="26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9">
        <f>SUM(C18:Z18)</f>
      </c>
      <c r="AB18" s="32">
        <v>1</v>
      </c>
      <c r="AC18" s="33">
        <v>0</v>
      </c>
      <c r="AD18" s="33">
        <v>0</v>
      </c>
      <c r="AE18" s="34">
        <v>0</v>
      </c>
      <c r="AF18" s="30">
        <v>1</v>
      </c>
    </row>
    <row r="19">
      <c r="A19" s="20">
        <v>15</v>
      </c>
      <c r="B19" s="31" t="str">
        <v>Mich</v>
      </c>
      <c r="C19" s="27">
        <f>IF('List Ticket'!C19=1, 1, 0)</f>
      </c>
      <c r="D19" s="26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9">
        <f>SUM(C19:Z19)</f>
      </c>
      <c r="AB19" s="32">
        <v>1</v>
      </c>
      <c r="AC19" s="33">
        <v>0</v>
      </c>
      <c r="AD19" s="33">
        <v>0</v>
      </c>
      <c r="AE19" s="34">
        <v>0</v>
      </c>
      <c r="AF19" s="30">
        <v>1</v>
      </c>
    </row>
    <row r="20">
      <c r="A20" s="20">
        <v>16</v>
      </c>
      <c r="B20" s="31" t="str">
        <v>hyph90</v>
      </c>
      <c r="C20" s="27">
        <f>IF('List Ticket'!C20=1, 1, 0)</f>
      </c>
      <c r="D20" s="26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9">
        <f>SUM(C20:Z20)</f>
      </c>
      <c r="AB20" s="32">
        <v>1</v>
      </c>
      <c r="AC20" s="33">
        <v>0</v>
      </c>
      <c r="AD20" s="33">
        <v>0</v>
      </c>
      <c r="AE20" s="34">
        <v>0</v>
      </c>
      <c r="AF20" s="30">
        <v>1</v>
      </c>
    </row>
    <row r="21">
      <c r="A21" s="20">
        <v>17</v>
      </c>
      <c r="B21" s="31" t="str">
        <v>CLOVER</v>
      </c>
      <c r="C21" s="27">
        <f>IF('List Ticket'!C21=1, 1, 0)</f>
      </c>
      <c r="D21" s="26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9">
        <f>SUM(C21:Z21)</f>
      </c>
      <c r="AB21" s="32">
        <v>1</v>
      </c>
      <c r="AC21" s="33">
        <v>0</v>
      </c>
      <c r="AD21" s="33">
        <v>0</v>
      </c>
      <c r="AE21" s="34">
        <v>0</v>
      </c>
      <c r="AF21" s="30">
        <v>1</v>
      </c>
    </row>
    <row r="22">
      <c r="A22" s="20">
        <v>18</v>
      </c>
      <c r="B22" s="31" t="str">
        <v>Hanya G</v>
      </c>
      <c r="C22" s="27">
        <f>IF('List Ticket'!C22=1, 1, 0)</f>
      </c>
      <c r="D22" s="26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9">
        <f>SUM(C22:Z22)</f>
      </c>
      <c r="AB22" s="32">
        <v>1</v>
      </c>
      <c r="AC22" s="33">
        <v>0</v>
      </c>
      <c r="AD22" s="33">
        <v>0</v>
      </c>
      <c r="AE22" s="34">
        <v>0</v>
      </c>
      <c r="AF22" s="30">
        <v>1</v>
      </c>
    </row>
    <row r="23">
      <c r="A23" s="20">
        <v>19</v>
      </c>
      <c r="B23" s="31" t="str">
        <v>Nilla Sahkrisna</v>
      </c>
      <c r="C23" s="27">
        <f>IF('List Ticket'!C23=1, 1, 0)</f>
      </c>
      <c r="D23" s="26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9">
        <f>SUM(C23:Z23)</f>
      </c>
      <c r="AB23" s="32">
        <v>1</v>
      </c>
      <c r="AC23" s="33">
        <v>0</v>
      </c>
      <c r="AD23" s="33">
        <v>0</v>
      </c>
      <c r="AE23" s="34">
        <v>0</v>
      </c>
      <c r="AF23" s="30">
        <v>1</v>
      </c>
    </row>
    <row r="24">
      <c r="A24" s="20">
        <v>20</v>
      </c>
      <c r="B24" s="31" t="str">
        <v>Gugum</v>
      </c>
      <c r="C24" s="27">
        <f>IF('List Ticket'!C24=1, 1, 0)</f>
      </c>
      <c r="D24" s="26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9">
        <f>SUM(C24:Z24)</f>
      </c>
      <c r="AB24" s="32">
        <v>1</v>
      </c>
      <c r="AC24" s="33">
        <v>0</v>
      </c>
      <c r="AD24" s="33">
        <v>0</v>
      </c>
      <c r="AE24" s="34">
        <v>0</v>
      </c>
      <c r="AF24" s="30">
        <v>1</v>
      </c>
    </row>
    <row r="25">
      <c r="A25" s="20">
        <v>21</v>
      </c>
      <c r="B25" s="31" t="str">
        <v>Pak Ogah</v>
      </c>
      <c r="C25" s="27">
        <f>IF('List Ticket'!C25=1, 1, 0)</f>
      </c>
      <c r="D25" s="26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9">
        <f>SUM(C25:Z25)</f>
      </c>
      <c r="AB25" s="32">
        <v>1</v>
      </c>
      <c r="AC25" s="33">
        <v>0</v>
      </c>
      <c r="AD25" s="33">
        <v>0</v>
      </c>
      <c r="AE25" s="34">
        <v>0</v>
      </c>
      <c r="AF25" s="30">
        <v>1</v>
      </c>
    </row>
    <row r="26">
      <c r="A26" s="20">
        <v>22</v>
      </c>
      <c r="B26" s="31" t="str">
        <v>Yoshi</v>
      </c>
      <c r="C26" s="27">
        <f>IF('List Ticket'!C26=1, 1, 0)</f>
      </c>
      <c r="D26" s="26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9">
        <f>SUM(C26:Z26)</f>
      </c>
      <c r="AB26" s="32">
        <v>1</v>
      </c>
      <c r="AC26" s="33">
        <v>0</v>
      </c>
      <c r="AD26" s="33">
        <v>0</v>
      </c>
      <c r="AE26" s="34">
        <v>0</v>
      </c>
      <c r="AF26" s="30">
        <v>1</v>
      </c>
    </row>
    <row r="27">
      <c r="A27" s="20">
        <v>23</v>
      </c>
      <c r="B27" s="31" t="str">
        <v>Ennang</v>
      </c>
      <c r="C27" s="27">
        <f>IF('List Ticket'!C27=1, 1, 0)</f>
      </c>
      <c r="D27" s="26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9">
        <f>SUM(C27:Z27)</f>
      </c>
      <c r="AB27" s="32">
        <v>1</v>
      </c>
      <c r="AC27" s="33">
        <v>0</v>
      </c>
      <c r="AD27" s="33">
        <v>0</v>
      </c>
      <c r="AE27" s="34">
        <v>0</v>
      </c>
      <c r="AF27" s="30">
        <v>1</v>
      </c>
    </row>
    <row r="28">
      <c r="A28" s="20">
        <v>24</v>
      </c>
      <c r="B28" s="31" t="str">
        <v>Mr. CuanTrus</v>
      </c>
      <c r="C28" s="27">
        <f>IF('List Ticket'!C28=1, 1, 0)</f>
      </c>
      <c r="D28" s="26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9">
        <f>SUM(C28:Z28)</f>
      </c>
      <c r="AB28" s="32">
        <v>1</v>
      </c>
      <c r="AC28" s="33">
        <v>0</v>
      </c>
      <c r="AD28" s="33">
        <v>0</v>
      </c>
      <c r="AE28" s="34">
        <v>0</v>
      </c>
      <c r="AF28" s="30">
        <v>1</v>
      </c>
    </row>
    <row r="29">
      <c r="A29" s="20">
        <v>25</v>
      </c>
      <c r="B29" s="31" t="str">
        <v>SETELANCUAN</v>
      </c>
      <c r="C29" s="27">
        <f>IF('List Ticket'!C29=1, 1, 0)</f>
      </c>
      <c r="D29" s="26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9">
        <f>SUM(C29:Z29)</f>
      </c>
      <c r="AB29" s="32">
        <v>1</v>
      </c>
      <c r="AC29" s="33">
        <v>0</v>
      </c>
      <c r="AD29" s="33">
        <v>0</v>
      </c>
      <c r="AE29" s="34">
        <v>0</v>
      </c>
      <c r="AF29" s="30">
        <v>1</v>
      </c>
    </row>
    <row r="30">
      <c r="A30" s="20">
        <v>26</v>
      </c>
      <c r="B30" s="31" t="str">
        <v>Alfath</v>
      </c>
      <c r="C30" s="27">
        <f>IF('List Ticket'!C30=1, 1, 0)</f>
      </c>
      <c r="D30" s="26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9">
        <f>SUM(C30:Z30)</f>
      </c>
      <c r="AB30" s="32">
        <v>1</v>
      </c>
      <c r="AC30" s="33">
        <v>0</v>
      </c>
      <c r="AD30" s="33">
        <v>0</v>
      </c>
      <c r="AE30" s="34">
        <v>0</v>
      </c>
      <c r="AF30" s="30">
        <v>1</v>
      </c>
    </row>
    <row r="31">
      <c r="A31" s="20">
        <v>27</v>
      </c>
      <c r="B31" s="31" t="str">
        <v>Azi</v>
      </c>
      <c r="C31" s="27">
        <f>IF('List Ticket'!C31=1, 1, 0)</f>
      </c>
      <c r="D31" s="26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9">
        <f>SUM(C31:Z31)</f>
      </c>
      <c r="AB31" s="32">
        <v>1</v>
      </c>
      <c r="AC31" s="33">
        <v>0</v>
      </c>
      <c r="AD31" s="33">
        <v>0</v>
      </c>
      <c r="AE31" s="34">
        <v>0</v>
      </c>
      <c r="AF31" s="30">
        <v>1</v>
      </c>
    </row>
    <row r="32">
      <c r="A32" s="20">
        <v>28</v>
      </c>
      <c r="B32" s="31" t="str">
        <v>Adimaya79</v>
      </c>
      <c r="C32" s="27">
        <f>IF('List Ticket'!C32=1, 1, 0)</f>
      </c>
      <c r="D32" s="26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9">
        <f>SUM(C32:Z32)</f>
      </c>
      <c r="AB32" s="32">
        <v>1</v>
      </c>
      <c r="AC32" s="33">
        <v>0</v>
      </c>
      <c r="AD32" s="33">
        <v>0</v>
      </c>
      <c r="AE32" s="34">
        <v>0</v>
      </c>
      <c r="AF32" s="30">
        <v>1</v>
      </c>
    </row>
    <row r="33">
      <c r="A33" s="20">
        <v>29</v>
      </c>
      <c r="B33" s="31" t="str">
        <v>Bonnino</v>
      </c>
      <c r="C33" s="27">
        <f>IF('List Ticket'!C33=1, 1, 0)</f>
      </c>
      <c r="D33" s="26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9">
        <f>SUM(C33:Z33)</f>
      </c>
      <c r="AB33" s="32">
        <v>1</v>
      </c>
      <c r="AC33" s="33">
        <v>0</v>
      </c>
      <c r="AD33" s="33">
        <v>0</v>
      </c>
      <c r="AE33" s="34">
        <v>0</v>
      </c>
      <c r="AF33" s="30">
        <v>1</v>
      </c>
    </row>
    <row r="34">
      <c r="A34" s="20">
        <v>30</v>
      </c>
      <c r="B34" s="31" t="str">
        <v>Hui Soen Kiong</v>
      </c>
      <c r="C34" s="27">
        <f>IF('List Ticket'!C34=1, 1, 0)</f>
      </c>
      <c r="D34" s="26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9">
        <f>SUM(C34:Z34)</f>
      </c>
      <c r="AB34" s="32">
        <v>1</v>
      </c>
      <c r="AC34" s="33">
        <v>0</v>
      </c>
      <c r="AD34" s="33">
        <v>0</v>
      </c>
      <c r="AE34" s="34">
        <v>0</v>
      </c>
      <c r="AF34" s="30">
        <v>1</v>
      </c>
    </row>
    <row r="35">
      <c r="A35" s="23">
        <v>31</v>
      </c>
      <c r="B35" s="28" t="str">
        <v>JAMberAPA12</v>
      </c>
      <c r="C35" s="27">
        <f>IF('List Ticket'!C35=1, 1, 0)</f>
      </c>
      <c r="D35" s="26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9">
        <f>SUM(C35:Z35)</f>
      </c>
      <c r="AB35" s="25"/>
      <c r="AC35" s="25"/>
      <c r="AD35" s="25"/>
      <c r="AE35" s="25"/>
      <c r="AF35" s="25"/>
    </row>
    <row r="36">
      <c r="A36" s="23">
        <v>32</v>
      </c>
      <c r="B36" s="28" t="str">
        <v>FerryGood</v>
      </c>
      <c r="C36" s="27">
        <f>IF('List Ticket'!C36=1, 1, 0)</f>
      </c>
      <c r="D36" s="26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9">
        <f>SUM(C36:Z36)</f>
      </c>
      <c r="AB36" s="25"/>
      <c r="AC36" s="25"/>
      <c r="AD36" s="25"/>
      <c r="AE36" s="25"/>
      <c r="AF36" s="25"/>
    </row>
    <row r="37">
      <c r="A37" s="23">
        <v>33</v>
      </c>
      <c r="B37" s="28" t="str">
        <v>messiLeo</v>
      </c>
      <c r="C37" s="27">
        <f>IF('List Ticket'!C37=1, 1, 0)</f>
      </c>
      <c r="D37" s="26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9">
        <f>SUM(C37:Z37)</f>
      </c>
      <c r="AB37" s="25"/>
      <c r="AC37" s="25"/>
      <c r="AD37" s="25"/>
      <c r="AE37" s="25"/>
      <c r="AF37" s="25"/>
    </row>
    <row r="38">
      <c r="A38" s="23">
        <v>34</v>
      </c>
      <c r="B38" s="28" t="str">
        <v>KepomponG✅</v>
      </c>
      <c r="C38" s="27">
        <f>IF('List Ticket'!C38=1, 1, 0)</f>
      </c>
      <c r="D38" s="26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9">
        <f>SUM(C38:Z38)</f>
      </c>
      <c r="AB38" s="25"/>
      <c r="AC38" s="25"/>
      <c r="AD38" s="25"/>
      <c r="AE38" s="25"/>
      <c r="AF38" s="25"/>
    </row>
    <row r="39">
      <c r="A39" s="23">
        <v>35</v>
      </c>
      <c r="B39" s="28" t="str" xml:space="preserve">
        <v>Yuli </v>
      </c>
      <c r="C39" s="27">
        <f>IF('List Ticket'!C39=1, 1, 0)</f>
      </c>
      <c r="D39" s="26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9">
        <f>SUM(C39:Z39)</f>
      </c>
      <c r="AB39" s="25"/>
      <c r="AC39" s="25"/>
      <c r="AD39" s="25"/>
      <c r="AE39" s="25"/>
      <c r="AF39" s="25"/>
    </row>
    <row r="40">
      <c r="A40" s="23">
        <v>36</v>
      </c>
      <c r="B40" s="28" t="str">
        <v>GELPHY ✅</v>
      </c>
      <c r="C40" s="27">
        <f>IF('List Ticket'!C40=1, 1, 0)</f>
      </c>
      <c r="D40" s="26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9">
        <f>SUM(C40:Z40)</f>
      </c>
      <c r="AB40" s="25"/>
      <c r="AC40" s="25"/>
      <c r="AD40" s="25"/>
      <c r="AE40" s="25"/>
      <c r="AF40" s="25"/>
    </row>
    <row r="41">
      <c r="A41" s="23">
        <v>37</v>
      </c>
      <c r="B41" s="28" t="str">
        <v>Darso</v>
      </c>
      <c r="C41" s="27">
        <f>IF('List Ticket'!C41=1, 1, 0)</f>
      </c>
      <c r="D41" s="26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9">
        <f>SUM(C41:Z41)</f>
      </c>
      <c r="AB41" s="25"/>
      <c r="AC41" s="25"/>
      <c r="AD41" s="25"/>
      <c r="AE41" s="25"/>
      <c r="AF41" s="25"/>
    </row>
    <row r="42">
      <c r="A42" s="23">
        <v>38</v>
      </c>
      <c r="B42" s="28" t="str">
        <v>Zuna76</v>
      </c>
      <c r="C42" s="27">
        <f>IF('List Ticket'!C42=1, 1, 0)</f>
      </c>
      <c r="D42" s="26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9">
        <f>SUM(C42:Z42)</f>
      </c>
      <c r="AB42" s="25"/>
      <c r="AC42" s="25"/>
      <c r="AD42" s="25"/>
      <c r="AE42" s="25"/>
      <c r="AF42" s="25"/>
    </row>
    <row r="43">
      <c r="A43" s="23">
        <v>39</v>
      </c>
      <c r="B43" s="28" t="str">
        <v>peyeri1906</v>
      </c>
      <c r="C43" s="27">
        <f>IF('List Ticket'!C43=1, 1, 0)</f>
      </c>
      <c r="D43" s="26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9">
        <f>SUM(C43:Z43)</f>
      </c>
      <c r="AB43" s="25"/>
      <c r="AC43" s="25"/>
      <c r="AD43" s="25"/>
      <c r="AE43" s="25"/>
      <c r="AF43" s="25"/>
    </row>
    <row r="44">
      <c r="A44" s="23">
        <v>40</v>
      </c>
      <c r="B44" s="28" t="str">
        <v>Lani</v>
      </c>
      <c r="C44" s="27">
        <f>IF('List Ticket'!C44=1, 1, 0)</f>
      </c>
      <c r="D44" s="26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9">
        <f>SUM(C44:Z44)</f>
      </c>
      <c r="AB44" s="25"/>
      <c r="AC44" s="25"/>
      <c r="AD44" s="25"/>
      <c r="AE44" s="25"/>
      <c r="AF44" s="25"/>
    </row>
    <row r="45">
      <c r="A45" s="23">
        <v>41</v>
      </c>
      <c r="B45" s="28" t="str">
        <v>mytradding</v>
      </c>
      <c r="C45" s="27">
        <f>IF('List Ticket'!C45=1, 1, 0)</f>
      </c>
      <c r="D45" s="26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9">
        <f>SUM(C45:Z45)</f>
      </c>
      <c r="AB45" s="25"/>
      <c r="AC45" s="25"/>
      <c r="AD45" s="25"/>
      <c r="AE45" s="25"/>
      <c r="AF45" s="25"/>
    </row>
    <row r="46">
      <c r="A46" s="23">
        <v>42</v>
      </c>
      <c r="B46" s="28" t="str">
        <v>Bejo09</v>
      </c>
      <c r="C46" s="27">
        <f>IF('List Ticket'!C46=1, 1, 0)</f>
      </c>
      <c r="D46" s="26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9">
        <f>SUM(C46:Z46)</f>
      </c>
      <c r="AB46" s="25"/>
      <c r="AC46" s="25"/>
      <c r="AD46" s="25"/>
      <c r="AE46" s="25"/>
      <c r="AF46" s="25"/>
    </row>
    <row r="47">
      <c r="A47" s="23">
        <v>43</v>
      </c>
      <c r="B47" s="28" t="str" xml:space="preserve">
        <v>FAAHAS </v>
      </c>
      <c r="C47" s="27">
        <f>IF('List Ticket'!C47=1, 1, 0)</f>
      </c>
      <c r="D47" s="26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9">
        <f>SUM(C47:Z47)</f>
      </c>
      <c r="AB47" s="25"/>
      <c r="AC47" s="25"/>
      <c r="AD47" s="25"/>
      <c r="AE47" s="25"/>
      <c r="AF47" s="25"/>
    </row>
    <row r="48">
      <c r="A48" s="23">
        <v>44</v>
      </c>
      <c r="B48" s="28" t="str">
        <v>Mr.Eko</v>
      </c>
      <c r="C48" s="27">
        <f>IF('List Ticket'!C48=1, 1, 0)</f>
      </c>
      <c r="D48" s="26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9">
        <f>SUM(C48:Z48)</f>
      </c>
      <c r="AB48" s="25"/>
      <c r="AC48" s="25"/>
      <c r="AD48" s="25"/>
      <c r="AE48" s="25"/>
      <c r="AF48" s="25"/>
    </row>
    <row r="49">
      <c r="A49" s="23">
        <v>45</v>
      </c>
      <c r="B49" s="28" t="str">
        <v>ernaeky788</v>
      </c>
      <c r="C49" s="27">
        <f>IF('List Ticket'!C49=1, 1, 0)</f>
      </c>
      <c r="D49" s="26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9">
        <f>SUM(C49:Z49)</f>
      </c>
      <c r="AB49" s="25"/>
      <c r="AC49" s="25"/>
      <c r="AD49" s="25"/>
      <c r="AE49" s="25"/>
      <c r="AF49" s="25"/>
    </row>
    <row r="50">
      <c r="A50" s="23">
        <v>46</v>
      </c>
      <c r="B50" s="28" t="str">
        <v>Cuan XRP</v>
      </c>
      <c r="C50" s="27">
        <f>IF('List Ticket'!C50=1, 1, 0)</f>
      </c>
      <c r="D50" s="26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9">
        <f>SUM(C50:Z50)</f>
      </c>
      <c r="AB50" s="25"/>
      <c r="AC50" s="25"/>
      <c r="AD50" s="25"/>
      <c r="AE50" s="25"/>
      <c r="AF50" s="25"/>
    </row>
    <row r="51">
      <c r="A51" s="23">
        <v>47</v>
      </c>
      <c r="B51" s="28" t="str">
        <v>MUHAMMAD NASRULLAH</v>
      </c>
      <c r="C51" s="27">
        <f>IF('List Ticket'!C51=1, 1, 0)</f>
      </c>
      <c r="D51" s="26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9">
        <f>SUM(C51:Z51)</f>
      </c>
      <c r="AB51" s="25"/>
      <c r="AC51" s="25"/>
      <c r="AD51" s="25"/>
      <c r="AE51" s="25"/>
      <c r="AF51" s="25"/>
    </row>
    <row r="52">
      <c r="A52" s="23">
        <v>48</v>
      </c>
      <c r="B52" s="28" t="str">
        <v>Tjoei Lan</v>
      </c>
      <c r="C52" s="27">
        <f>IF('List Ticket'!C52=1, 1, 0)</f>
      </c>
      <c r="D52" s="26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9">
        <f>SUM(C52:Z52)</f>
      </c>
      <c r="AB52" s="25"/>
      <c r="AC52" s="25"/>
      <c r="AD52" s="25"/>
      <c r="AE52" s="25"/>
      <c r="AF52" s="25"/>
    </row>
    <row r="53">
      <c r="A53" s="23">
        <v>49</v>
      </c>
      <c r="B53" s="28" t="str">
        <v>Syamsultan</v>
      </c>
      <c r="C53" s="27">
        <f>IF('List Ticket'!C53=1, 1, 0)</f>
      </c>
      <c r="D53" s="26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9">
        <f>SUM(C53:Z53)</f>
      </c>
      <c r="AB53" s="25"/>
      <c r="AC53" s="25"/>
      <c r="AD53" s="25"/>
      <c r="AE53" s="25"/>
      <c r="AF53" s="25"/>
    </row>
    <row r="54">
      <c r="A54" s="23">
        <v>50</v>
      </c>
      <c r="B54" s="28" t="str">
        <v>INDRAWAN</v>
      </c>
      <c r="C54" s="27">
        <f>IF('List Ticket'!C54=1, 1, 0)</f>
      </c>
      <c r="D54" s="26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9">
        <f>SUM(C54:Z54)</f>
      </c>
      <c r="AB54" s="25"/>
      <c r="AC54" s="25"/>
      <c r="AD54" s="25"/>
      <c r="AE54" s="25"/>
      <c r="AF54" s="25"/>
    </row>
    <row r="55">
      <c r="A55" s="23">
        <v>51</v>
      </c>
      <c r="B55" s="28"/>
      <c r="C55" s="27">
        <f>IF('List Ticket'!C55=1, 1, 0)</f>
      </c>
      <c r="D55" s="26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9">
        <f>SUM(C55:Z55)</f>
      </c>
      <c r="AB55" s="25"/>
      <c r="AC55" s="25"/>
      <c r="AD55" s="25"/>
      <c r="AE55" s="25"/>
      <c r="AF55" s="25"/>
    </row>
    <row r="56">
      <c r="A56" s="23">
        <v>52</v>
      </c>
      <c r="B56" s="28"/>
      <c r="C56" s="27">
        <f>IF('List Ticket'!C56=1, 1, 0)</f>
      </c>
      <c r="D56" s="26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9">
        <f>SUM(C56:Z56)</f>
      </c>
      <c r="AB56" s="25"/>
      <c r="AC56" s="25"/>
      <c r="AD56" s="25"/>
      <c r="AE56" s="25"/>
      <c r="AF56" s="25"/>
    </row>
    <row r="57">
      <c r="A57" s="23">
        <v>53</v>
      </c>
      <c r="B57" s="28"/>
      <c r="C57" s="27">
        <f>IF('List Ticket'!C57=1, 1, 0)</f>
      </c>
      <c r="D57" s="26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9">
        <f>SUM(C57:Z57)</f>
      </c>
      <c r="AB57" s="25"/>
      <c r="AC57" s="25"/>
      <c r="AD57" s="25"/>
      <c r="AE57" s="25"/>
      <c r="AF57" s="25"/>
    </row>
    <row r="58">
      <c r="A58" s="23">
        <v>54</v>
      </c>
      <c r="B58" s="28"/>
      <c r="C58" s="27">
        <f>IF('List Ticket'!C58=1, 1, 0)</f>
      </c>
      <c r="D58" s="26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9">
        <f>SUM(C58:Z58)</f>
      </c>
      <c r="AB58" s="25"/>
      <c r="AC58" s="25"/>
      <c r="AD58" s="25"/>
      <c r="AE58" s="25"/>
      <c r="AF58" s="25"/>
    </row>
    <row r="59">
      <c r="A59" s="23">
        <v>55</v>
      </c>
      <c r="B59" s="28"/>
      <c r="C59" s="27">
        <f>IF('List Ticket'!C59=1, 1, 0)</f>
      </c>
      <c r="D59" s="26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9">
        <f>SUM(C59:Z59)</f>
      </c>
      <c r="AB59" s="25"/>
      <c r="AC59" s="25"/>
      <c r="AD59" s="25"/>
      <c r="AE59" s="25"/>
      <c r="AF59" s="25"/>
    </row>
    <row r="60">
      <c r="A60" s="23">
        <v>56</v>
      </c>
      <c r="B60" s="28"/>
      <c r="C60" s="27">
        <f>IF('List Ticket'!C60=1, 1, 0)</f>
      </c>
      <c r="D60" s="26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9">
        <f>SUM(C60:Z60)</f>
      </c>
      <c r="AB60" s="25"/>
      <c r="AC60" s="25"/>
      <c r="AD60" s="25"/>
      <c r="AE60" s="25"/>
      <c r="AF60" s="25"/>
    </row>
    <row r="61">
      <c r="A61" s="23">
        <v>57</v>
      </c>
      <c r="B61" s="28"/>
      <c r="C61" s="27">
        <f>IF('List Ticket'!C61=1, 1, 0)</f>
      </c>
      <c r="D61" s="26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9">
        <f>SUM(C61:Z61)</f>
      </c>
      <c r="AB61" s="25"/>
      <c r="AC61" s="25"/>
      <c r="AD61" s="25"/>
      <c r="AE61" s="25"/>
      <c r="AF61" s="25"/>
    </row>
    <row r="62">
      <c r="A62" s="23">
        <v>58</v>
      </c>
      <c r="B62" s="28"/>
      <c r="C62" s="27">
        <f>IF(#REF!=1, 1, 0)</f>
      </c>
      <c r="D62" s="26">
        <f>IF(#REF!=1, C62+1, 0)</f>
      </c>
      <c r="E62" s="24">
        <f>IF(#REF!=1, D62+1, 0)</f>
      </c>
      <c r="F62" s="24">
        <f>IF(#REF!=1, E62+1, 0)</f>
      </c>
      <c r="G62" s="24">
        <f>IF(#REF!=1, F62+1, 0)</f>
      </c>
      <c r="H62" s="24">
        <f>IF(#REF!=1, G62+1, 0)</f>
      </c>
      <c r="I62" s="24">
        <f>IF(#REF!=1, H62+1, 0)</f>
      </c>
      <c r="J62" s="24">
        <f>IF(#REF!=1, I62+1, 0)</f>
      </c>
      <c r="K62" s="24">
        <f>IF(#REF!=1, J62+1, 0)</f>
      </c>
      <c r="L62" s="24">
        <f>IF(#REF!=1, K62+1, 0)</f>
      </c>
      <c r="M62" s="24">
        <f>IF(#REF!=1, L62+1, 0)</f>
      </c>
      <c r="N62" s="24">
        <f>IF(#REF!=1, M62+1, 0)</f>
      </c>
      <c r="O62" s="24">
        <f>IF(#REF!=1, N62+1, 0)</f>
      </c>
      <c r="P62" s="24">
        <f>IF(#REF!=1, O62+1, 0)</f>
      </c>
      <c r="Q62" s="24">
        <f>IF(#REF!=1, P62+1, 0)</f>
      </c>
      <c r="R62" s="24">
        <f>IF(#REF!=1, Q62+1, 0)</f>
      </c>
      <c r="S62" s="24">
        <f>IF(#REF!=1, R62+1, 0)</f>
      </c>
      <c r="T62" s="24">
        <f>IF(#REF!=1, S62+1, 0)</f>
      </c>
      <c r="U62" s="24">
        <f>IF(#REF!=1, T62+1, 0)</f>
      </c>
      <c r="V62" s="24">
        <f>IF(#REF!=1, U62+1, 0)</f>
      </c>
      <c r="W62" s="24">
        <f>IF(#REF!=1, V62+1, 0)</f>
      </c>
      <c r="X62" s="24">
        <f>IF(#REF!=1, W62+1, 0)</f>
      </c>
      <c r="Y62" s="24">
        <f>IF(#REF!=1, X62+1, 0)</f>
      </c>
      <c r="Z62" s="24">
        <f>IF(#REF!=1, Y62+1, 0)</f>
      </c>
      <c r="AA62" s="29">
        <f>SUM(C62:Z62)</f>
      </c>
      <c r="AB62" s="25"/>
      <c r="AC62" s="25"/>
      <c r="AD62" s="25"/>
      <c r="AE62" s="25"/>
      <c r="AF62" s="25"/>
    </row>
    <row r="63">
      <c r="A63" s="23">
        <v>59</v>
      </c>
      <c r="B63" s="28"/>
      <c r="C63" s="27">
        <f>IF('List Ticket'!C62=1, 1, 0)</f>
      </c>
      <c r="D63" s="26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9">
        <f>SUM(C63:Z63)</f>
      </c>
      <c r="AB63" s="25"/>
      <c r="AC63" s="25"/>
      <c r="AD63" s="25"/>
      <c r="AE63" s="25"/>
      <c r="AF63" s="25"/>
    </row>
    <row r="64">
      <c r="A64" s="23">
        <v>60</v>
      </c>
      <c r="B64" s="28"/>
      <c r="C64" s="27">
        <f>IF('List Ticket'!C63=1, 1, 0)</f>
      </c>
      <c r="D64" s="26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9">
        <f>SUM(C64:Z64)</f>
      </c>
      <c r="AB64" s="25"/>
      <c r="AC64" s="25"/>
      <c r="AD64" s="25"/>
      <c r="AE64" s="25"/>
      <c r="AF64" s="25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