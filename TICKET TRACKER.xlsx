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<sst xmlns="http://schemas.openxmlformats.org/spreadsheetml/2006/main" count="160" uniqueCount="160">
  <si>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</si>
  <si>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</si>
  <si>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</si>
  <si>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</si>
  <si>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</si>
  <si>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</si>
  <si>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</si>
  <si>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</si>
  <si>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</si>
  <si>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</si>
  <si>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</si>
  <si>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</si>
  <si>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</si>
  <si>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</si>
  <si>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</si>
  <si>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</si>
  <si>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</si>
  <si>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</si>
  <si>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</si>
  <si>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</si>
  <si>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</si>
  <si>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</si>
  <si>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</si>
  <si>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</si>
  <si>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</si>
  <si>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</si>
  <si>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</si>
  <si>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</si>
  <si>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</si>
  <si>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</si>
  <si>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</si>
  <si>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</si>
  <si>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</si>
  <si>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</si>
  <si>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</si>
  <si>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</si>
  <si>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</si>
  <si>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</si>
  <si>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</si>
  <si>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</si>
  <si>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</si>
  <si>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</si>
  <si>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</si>
  <si>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</si>
  <si>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</si>
  <si>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</si>
  <si>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</si>
  <si>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</si>
  <si>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</si>
  <si>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</si>
  <si>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</si>
  <si>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</si>
  <si>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</si>
  <si>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</si>
  <si>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</si>
  <si>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</si>
  <si>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</si>
  <si>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</si>
  <si>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</si>
  <si>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</si>
  <si>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</si>
  <si>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</si>
  <si>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</si>
  <si>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</si>
  <si>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</si>
  <si>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</si>
  <si>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</si>
  <si>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</si>
  <si>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</si>
  <si>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</si>
  <si>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</si>
  <si>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</si>
  <si>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</si>
  <si>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</si>
  <si>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</si>
  <si>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</si>
  <si>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</si>
  <si>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</si>
  <si>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</si>
  <si>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</si>
  <si>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</si>
  <si>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</si>
  <si>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</si>
  <si>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</si>
  <si>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</si>
  <si>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</si>
  <si>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</si>
  <si>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</si>
  <si>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</si>
  <si>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</si>
  <si>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</si>
  <si>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</si>
  <si>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</si>
  <si>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</si>
  <si>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</si>
  <si>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</si>
  <si>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</si>
  <si>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</si>
  <si>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</si>
  <si>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</si>
  <si>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</si>
  <si>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</si>
  <si>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</si>
  <si>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</si>
  <si>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</si>
  <si>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</si>
  <si>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</si>
  <si>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</si>
  <si>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</si>
  <si>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</si>
  <si>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</si>
  <si>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</si>
  <si>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</si>
  <si>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</si>
  <si>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</si>
  <si>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</si>
  <si>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</si>
  <si>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</si>
  <si>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</si>
  <si>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</si>
  <si>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</si>
  <si>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</si>
  <si>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</si>
  <si>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</si>
  <si>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</si>
  <si>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</si>
  <si>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</si>
  <si>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</si>
  <si>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</si>
  <si>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</si>
  <si>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</si>
  <si>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</si>
  <si>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</si>
  <si>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</si>
  <si>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</si>
  <si>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</si>
  <si>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</si>
  <si>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</si>
  <si>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</si>
  <si>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</si>
  <si>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</si>
  <si>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</si>
  <si>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</si>
  <si>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Robtrade07</t>
  </si>
  <si>
    <t xml:space="preserve">Bejo09</t>
  </si>
  <si>
    <t xml:space="preserve">sultan</t>
  </si>
  <si>
    <t xml:space="preserve">bosku</t>
  </si>
  <si>
    <t xml:space="preserve">mory</t>
  </si>
  <si>
    <t xml:space="preserve">junicaputri</t>
  </si>
  <si>
    <t xml:space="preserve">strawberry</t>
  </si>
  <si>
    <t xml:space="preserve">Ti412</t>
  </si>
  <si>
    <t xml:space="preserve">TakePofit</t>
  </si>
  <si>
    <t xml:space="preserve">ochie</t>
  </si>
  <si>
    <t xml:space="preserve">JoFSZwnBca</t>
  </si>
  <si>
    <t xml:space="preserve">ZEA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</si>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</sst>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3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5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8" fillId="13" fontId="10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6" fontId="2" numFmtId="0" xfId="0">
      <alignment horizontal="center" vertical="center" wrapText="true"/>
    </xf>
    <xf applyAlignment="true" applyBorder="false" applyFill="true" applyFont="true" applyNumberFormat="false" applyProtection="false" borderId="9" fillId="17" fontId="3" numFmtId="0" xfId="0">
      <alignment horizontal="center" vertical="center" wrapText="true"/>
    </xf>
    <xf applyAlignment="true" applyBorder="false" applyFill="true" applyFont="true" applyNumberFormat="false" applyProtection="false" borderId="9" fillId="17" fontId="3" numFmtId="0" xfId="0">
      <alignment horizontal="center" vertical="center" wrapText="true"/>
    </xf>
    <xf applyAlignment="true" applyBorder="false" applyFill="true" applyFont="true" applyNumberFormat="false" applyProtection="false" borderId="9" fillId="18" fontId="2" numFmtId="0" xfId="0">
      <alignment horizontal="center" vertical="center" wrapText="true"/>
    </xf>
    <xf applyAlignment="true" applyBorder="false" applyFill="true" applyFont="true" applyNumberFormat="false" applyProtection="false" borderId="10" fillId="19" fontId="4" numFmtId="0" xfId="0">
      <alignment horizontal="center" vertical="center" wrapText="true"/>
    </xf>
    <xf applyAlignment="true" applyBorder="false" applyFill="true" applyFont="true" applyNumberFormat="false" applyProtection="false" borderId="10" fillId="19" fontId="4" numFmtId="0" xfId="0">
      <alignment horizontal="center" vertical="center" wrapText="true"/>
    </xf>
    <xf applyAlignment="true" applyBorder="false" applyFill="true" applyFont="true" applyNumberFormat="false" applyProtection="false" borderId="0" fillId="20" fontId="5" numFmtId="0" xfId="0">
      <alignment horizontal="left" vertical="bottom" wrapText="true"/>
    </xf>
    <xf applyAlignment="true" applyBorder="false" applyFill="true" applyFont="true" applyNumberFormat="false" applyProtection="false" borderId="0" fillId="20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6" numFmtId="0" xfId="0">
      <alignment horizontal="center" vertical="center" wrapText="true"/>
    </xf>
    <xf applyAlignment="true" applyBorder="false" applyFill="true" applyFont="true" applyNumberFormat="false" applyProtection="false" borderId="11" fillId="20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14" numFmtId="0" xfId="0">
      <alignment horizontal="center" vertical="center"/>
    </xf>
    <xf applyAlignment="true" applyBorder="false" applyFill="true" applyFont="true" applyNumberFormat="false" applyProtection="false" borderId="12" fillId="21" fontId="14" numFmtId="0" xfId="0">
      <alignment horizontal="center" vertical="center"/>
    </xf>
    <xf applyAlignment="true" applyBorder="false" applyFill="true" applyFont="true" applyNumberFormat="false" applyProtection="false" borderId="13" fillId="21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4"/>
    <col collapsed="false" customWidth="true" hidden="false" max="26" min="26" style="0" width="16"/>
    <col collapsed="false" customWidth="true" hidden="false" max="2" min="2" style="0" width="27"/>
    <col collapsed="false" customWidth="true" hidden="false" max="6" min="6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4"/>
    <col collapsed="false" customWidth="true" hidden="false" max="3" min="3" style="0" width="4"/>
    <col collapsed="false" customWidth="true" hidden="false" max="7" min="7" style="0" width="3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19">
        <v>1</v>
      </c>
      <c r="X5" s="19">
        <v>1</v>
      </c>
      <c r="Y5" s="19">
        <v>1</v>
      </c>
      <c r="Z5" s="20">
        <v>1</v>
      </c>
      <c r="AA5" s="21">
        <f t="shared" ref="AA5:AA218" si="1">(SUM(C5:Z5))+AE5</f>
      </c>
      <c r="AB5" s="22">
        <v>0</v>
      </c>
      <c r="AC5" s="23">
        <f>MIN(3, SUMPRODUCT((MOD('Streak'!C5:Z5,5)=0)*(MOD('Streak'!C5:Z5,10)&lt;&gt;0)*('Streak'!C5:Z5&gt;0))) * 5</f>
      </c>
      <c r="AD5" s="23">
        <f>MIN(2, SUMPRODUCT((MOD('Streak'!C5:Z5,10)=0)*('Streak'!C5:Z5&gt;0))) * 20</f>
      </c>
      <c r="AE5" s="24">
        <f t="shared" ref="AE5:AE218" si="2">SUM(AC5:AD5)</f>
      </c>
    </row>
    <row r="6">
      <c r="A6" s="17">
        <f t="shared" ref="A6:A1165" si="0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5">
        <v>0</v>
      </c>
      <c r="AA6" s="21">
        <f t="shared" si="1"/>
      </c>
      <c r="AB6" s="22">
        <v>0</v>
      </c>
      <c r="AC6" s="23">
        <f>MIN(3, SUMPRODUCT((MOD('Streak'!C6:Z6,5)=0)*(MOD('Streak'!C6:Z6,10)&lt;&gt;0)*('Streak'!C6:Z6&gt;0))) * 5</f>
      </c>
      <c r="AD6" s="23">
        <f>MIN(2, SUMPRODUCT((MOD('Streak'!C6:Z6,10)=0)*('Streak'!C6:Z6&gt;0))) * 20</f>
      </c>
      <c r="AE6" s="24">
        <f t="shared" si="2"/>
      </c>
    </row>
    <row r="7">
      <c r="A7" s="17">
        <f t="shared" si="0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1</v>
      </c>
      <c r="X7" s="19">
        <v>1</v>
      </c>
      <c r="Y7" s="19">
        <v>1</v>
      </c>
      <c r="Z7" s="20">
        <v>1</v>
      </c>
      <c r="AA7" s="21">
        <f t="shared" si="1"/>
      </c>
      <c r="AB7" s="26">
        <v>0</v>
      </c>
      <c r="AC7" s="23">
        <f>MIN(3, SUMPRODUCT((MOD('Streak'!C7:Z7,5)=0)*(MOD('Streak'!C7:Z7,10)&lt;&gt;0)*('Streak'!C7:Z7&gt;0))) * 5</f>
      </c>
      <c r="AD7" s="23">
        <f>MIN(2, SUMPRODUCT((MOD('Streak'!C7:Z7,10)=0)*('Streak'!C7:Z7&gt;0))) * 20</f>
      </c>
      <c r="AE7" s="24">
        <f t="shared" si="2"/>
      </c>
    </row>
    <row r="8">
      <c r="A8" s="17">
        <f t="shared" si="0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1</v>
      </c>
      <c r="W8" s="19">
        <v>1</v>
      </c>
      <c r="X8" s="19">
        <v>0</v>
      </c>
      <c r="Y8" s="19">
        <v>0</v>
      </c>
      <c r="Z8" s="20">
        <v>1</v>
      </c>
      <c r="AA8" s="21">
        <f t="shared" si="1"/>
      </c>
      <c r="AB8" s="26">
        <v>0</v>
      </c>
      <c r="AC8" s="23">
        <f>MIN(3, SUMPRODUCT((MOD('Streak'!C8:Z8,5)=0)*(MOD('Streak'!C8:Z8,10)&lt;&gt;0)*('Streak'!C8:Z8&gt;0))) * 5</f>
      </c>
      <c r="AD8" s="23">
        <f>MIN(2, SUMPRODUCT((MOD('Streak'!C8:Z8,10)=0)*('Streak'!C8:Z8&gt;0))) * 20</f>
      </c>
      <c r="AE8" s="24">
        <f t="shared" si="2"/>
      </c>
    </row>
    <row r="9">
      <c r="A9" s="17">
        <f t="shared" si="0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1</v>
      </c>
      <c r="X9" s="19">
        <v>1</v>
      </c>
      <c r="Y9" s="19">
        <v>0</v>
      </c>
      <c r="Z9" s="25">
        <v>0</v>
      </c>
      <c r="AA9" s="21">
        <f t="shared" si="1"/>
      </c>
      <c r="AB9" s="22">
        <v>0</v>
      </c>
      <c r="AC9" s="23">
        <f>MIN(3, SUMPRODUCT((MOD('Streak'!C9:Z9,5)=0)*(MOD('Streak'!C9:Z9,10)&lt;&gt;0)*('Streak'!C9:Z9&gt;0))) * 5</f>
      </c>
      <c r="AD9" s="23">
        <f>MIN(2, SUMPRODUCT((MOD('Streak'!C9:Z9,10)=0)*('Streak'!C9:Z9&gt;0))) * 20</f>
      </c>
      <c r="AE9" s="24">
        <f t="shared" si="2"/>
      </c>
    </row>
    <row r="10">
      <c r="A10" s="17">
        <f t="shared" si="0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5">
        <v>0</v>
      </c>
      <c r="AA10" s="21">
        <f t="shared" si="1"/>
      </c>
      <c r="AB10" s="22">
        <v>0</v>
      </c>
      <c r="AC10" s="23">
        <f>MIN(3, SUMPRODUCT((MOD('Streak'!C10:Z10,5)=0)*(MOD('Streak'!C10:Z10,10)&lt;&gt;0)*('Streak'!C10:Z10&gt;0))) * 5</f>
      </c>
      <c r="AD10" s="23">
        <f>MIN(2, SUMPRODUCT((MOD('Streak'!C10:Z10,10)=0)*('Streak'!C10:Z10&gt;0))) * 20</f>
      </c>
      <c r="AE10" s="24">
        <f t="shared" si="2"/>
      </c>
    </row>
    <row r="11">
      <c r="A11" s="17">
        <f t="shared" si="0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1</v>
      </c>
      <c r="Y11" s="19">
        <v>0</v>
      </c>
      <c r="Z11" s="25">
        <v>0</v>
      </c>
      <c r="AA11" s="21">
        <f t="shared" si="1"/>
      </c>
      <c r="AB11" s="22">
        <v>0</v>
      </c>
      <c r="AC11" s="23">
        <f>MIN(3, SUMPRODUCT((MOD('Streak'!C11:Z11,5)=0)*(MOD('Streak'!C11:Z11,10)&lt;&gt;0)*('Streak'!C11:Z11&gt;0))) * 5</f>
      </c>
      <c r="AD11" s="23">
        <f>MIN(2, SUMPRODUCT((MOD('Streak'!C11:Z11,10)=0)*('Streak'!C11:Z11&gt;0))) * 20</f>
      </c>
      <c r="AE11" s="24">
        <f t="shared" si="2"/>
      </c>
    </row>
    <row r="12">
      <c r="A12" s="17">
        <f t="shared" si="0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1</v>
      </c>
      <c r="X12" s="19">
        <v>0</v>
      </c>
      <c r="Y12" s="19">
        <v>0</v>
      </c>
      <c r="Z12" s="25">
        <v>0</v>
      </c>
      <c r="AA12" s="21">
        <f t="shared" si="1"/>
      </c>
      <c r="AB12" s="22">
        <v>0</v>
      </c>
      <c r="AC12" s="23">
        <f>MIN(3, SUMPRODUCT((MOD('Streak'!C12:Z12,5)=0)*(MOD('Streak'!C12:Z12,10)&lt;&gt;0)*('Streak'!C12:Z12&gt;0))) * 5</f>
      </c>
      <c r="AD12" s="23">
        <f>MIN(2, SUMPRODUCT((MOD('Streak'!C12:Z12,10)=0)*('Streak'!C12:Z12&gt;0))) * 20</f>
      </c>
      <c r="AE12" s="24">
        <f t="shared" si="2"/>
      </c>
    </row>
    <row r="13">
      <c r="A13" s="17">
        <f t="shared" si="0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1</v>
      </c>
      <c r="Z13" s="25">
        <v>0</v>
      </c>
      <c r="AA13" s="21">
        <f t="shared" si="1"/>
      </c>
      <c r="AB13" s="22">
        <v>0</v>
      </c>
      <c r="AC13" s="23">
        <f>MIN(3, SUMPRODUCT((MOD('Streak'!C13:Z13,5)=0)*(MOD('Streak'!C13:Z13,10)&lt;&gt;0)*('Streak'!C13:Z13&gt;0))) * 5</f>
      </c>
      <c r="AD13" s="23">
        <f>MIN(2, SUMPRODUCT((MOD('Streak'!C13:Z13,10)=0)*('Streak'!C13:Z13&gt;0))) * 20</f>
      </c>
      <c r="AE13" s="24">
        <f t="shared" si="2"/>
      </c>
    </row>
    <row r="14">
      <c r="A14" s="17">
        <f t="shared" si="0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25">
        <v>0</v>
      </c>
      <c r="AA14" s="21">
        <f t="shared" si="1"/>
      </c>
      <c r="AB14" s="22">
        <v>0</v>
      </c>
      <c r="AC14" s="23">
        <f>MIN(3, SUMPRODUCT((MOD('Streak'!C14:Z14,5)=0)*(MOD('Streak'!C14:Z14,10)&lt;&gt;0)*('Streak'!C14:Z14&gt;0))) * 5</f>
      </c>
      <c r="AD14" s="23">
        <f>MIN(2, SUMPRODUCT((MOD('Streak'!C14:Z14,10)=0)*('Streak'!C14:Z14&gt;0))) * 20</f>
      </c>
      <c r="AE14" s="24">
        <f t="shared" si="2"/>
      </c>
    </row>
    <row r="15">
      <c r="A15" s="17">
        <f t="shared" si="0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5">
        <v>0</v>
      </c>
      <c r="AA15" s="21">
        <f t="shared" si="1"/>
      </c>
      <c r="AB15" s="22">
        <v>0</v>
      </c>
      <c r="AC15" s="23">
        <f>MIN(3, SUMPRODUCT((MOD('Streak'!C15:Z15,5)=0)*(MOD('Streak'!C15:Z15,10)&lt;&gt;0)*('Streak'!C15:Z15&gt;0))) * 5</f>
      </c>
      <c r="AD15" s="23">
        <f>MIN(2, SUMPRODUCT((MOD('Streak'!C15:Z15,10)=0)*('Streak'!C15:Z15&gt;0))) * 20</f>
      </c>
      <c r="AE15" s="24">
        <f t="shared" si="2"/>
      </c>
    </row>
    <row r="16">
      <c r="A16" s="17">
        <f t="shared" si="0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1</v>
      </c>
      <c r="AA16" s="21">
        <f t="shared" si="1"/>
      </c>
      <c r="AB16" s="22">
        <v>0</v>
      </c>
      <c r="AC16" s="23">
        <f>MIN(3, SUMPRODUCT((MOD('Streak'!C16:Z16,5)=0)*(MOD('Streak'!C16:Z16,10)&lt;&gt;0)*('Streak'!C16:Z16&gt;0))) * 5</f>
      </c>
      <c r="AD16" s="23">
        <f>MIN(2, SUMPRODUCT((MOD('Streak'!C16:Z16,10)=0)*('Streak'!C16:Z16&gt;0))) * 20</f>
      </c>
      <c r="AE16" s="24">
        <f t="shared" si="2"/>
      </c>
    </row>
    <row r="17">
      <c r="A17" s="17">
        <f t="shared" si="0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5">
        <v>0</v>
      </c>
      <c r="AA17" s="21">
        <f t="shared" si="1"/>
      </c>
      <c r="AB17" s="22">
        <v>0</v>
      </c>
      <c r="AC17" s="23">
        <f>MIN(3, SUMPRODUCT((MOD('Streak'!C17:Z17,5)=0)*(MOD('Streak'!C17:Z17,10)&lt;&gt;0)*('Streak'!C17:Z17&gt;0))) * 5</f>
      </c>
      <c r="AD17" s="23">
        <f>MIN(2, SUMPRODUCT((MOD('Streak'!C17:Z17,10)=0)*('Streak'!C17:Z17&gt;0))) * 20</f>
      </c>
      <c r="AE17" s="24">
        <f t="shared" si="2"/>
      </c>
    </row>
    <row r="18">
      <c r="A18" s="17">
        <f t="shared" si="0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5">
        <v>0</v>
      </c>
      <c r="AA18" s="21">
        <f t="shared" si="1"/>
      </c>
      <c r="AB18" s="22">
        <v>0</v>
      </c>
      <c r="AC18" s="23">
        <f>MIN(3, SUMPRODUCT((MOD('Streak'!C18:Z18,5)=0)*(MOD('Streak'!C18:Z18,10)&lt;&gt;0)*('Streak'!C18:Z18&gt;0))) * 5</f>
      </c>
      <c r="AD18" s="23">
        <f>MIN(2, SUMPRODUCT((MOD('Streak'!C18:Z18,10)=0)*('Streak'!C18:Z18&gt;0))) * 20</f>
      </c>
      <c r="AE18" s="24">
        <f t="shared" si="2"/>
      </c>
    </row>
    <row r="19">
      <c r="A19" s="17">
        <f t="shared" si="0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1</v>
      </c>
      <c r="W19" s="19">
        <v>1</v>
      </c>
      <c r="X19" s="19">
        <v>0</v>
      </c>
      <c r="Y19" s="19">
        <v>1</v>
      </c>
      <c r="Z19" s="25">
        <v>0</v>
      </c>
      <c r="AA19" s="21">
        <f t="shared" si="1"/>
      </c>
      <c r="AB19" s="22">
        <v>0</v>
      </c>
      <c r="AC19" s="23">
        <f>MIN(3, SUMPRODUCT((MOD('Streak'!C19:Z19,5)=0)*(MOD('Streak'!C19:Z19,10)&lt;&gt;0)*('Streak'!C19:Z19&gt;0))) * 5</f>
      </c>
      <c r="AD19" s="23">
        <f>MIN(2, SUMPRODUCT((MOD('Streak'!C19:Z19,10)=0)*('Streak'!C19:Z19&gt;0))) * 20</f>
      </c>
      <c r="AE19" s="24">
        <f t="shared" si="2"/>
      </c>
    </row>
    <row r="20">
      <c r="A20" s="17">
        <f t="shared" si="0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25">
        <v>0</v>
      </c>
      <c r="AA20" s="21">
        <f t="shared" si="1"/>
      </c>
      <c r="AB20" s="22">
        <v>0</v>
      </c>
      <c r="AC20" s="23">
        <f>MIN(3, SUMPRODUCT((MOD('Streak'!C20:Z20,5)=0)*(MOD('Streak'!C20:Z20,10)&lt;&gt;0)*('Streak'!C20:Z20&gt;0))) * 5</f>
      </c>
      <c r="AD20" s="23">
        <f>MIN(2, SUMPRODUCT((MOD('Streak'!C20:Z20,10)=0)*('Streak'!C20:Z20&gt;0))) * 20</f>
      </c>
      <c r="AE20" s="24">
        <f t="shared" si="2"/>
      </c>
    </row>
    <row r="21">
      <c r="A21" s="17">
        <f t="shared" si="0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5">
        <v>0</v>
      </c>
      <c r="AA21" s="21">
        <f t="shared" si="1"/>
      </c>
      <c r="AB21" s="22">
        <v>0</v>
      </c>
      <c r="AC21" s="23">
        <f>MIN(3, SUMPRODUCT((MOD('Streak'!C21:Z21,5)=0)*(MOD('Streak'!C21:Z21,10)&lt;&gt;0)*('Streak'!C21:Z21&gt;0))) * 5</f>
      </c>
      <c r="AD21" s="23">
        <f>MIN(2, SUMPRODUCT((MOD('Streak'!C21:Z21,10)=0)*('Streak'!C21:Z21&gt;0))) * 20</f>
      </c>
      <c r="AE21" s="24">
        <f t="shared" si="2"/>
      </c>
    </row>
    <row r="22">
      <c r="A22" s="17">
        <f t="shared" si="0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1</v>
      </c>
      <c r="X22" s="19">
        <v>0</v>
      </c>
      <c r="Y22" s="19">
        <v>1</v>
      </c>
      <c r="Z22" s="20">
        <v>1</v>
      </c>
      <c r="AA22" s="21">
        <f t="shared" si="1"/>
      </c>
      <c r="AB22" s="22">
        <v>0</v>
      </c>
      <c r="AC22" s="23">
        <f>MIN(3, SUMPRODUCT((MOD('Streak'!C22:Z22,5)=0)*(MOD('Streak'!C22:Z22,10)&lt;&gt;0)*('Streak'!C22:Z22&gt;0))) * 5</f>
      </c>
      <c r="AD22" s="23">
        <f>MIN(2, SUMPRODUCT((MOD('Streak'!C22:Z22,10)=0)*('Streak'!C22:Z22&gt;0))) * 20</f>
      </c>
      <c r="AE22" s="24">
        <f t="shared" si="2"/>
      </c>
    </row>
    <row r="23">
      <c r="A23" s="17">
        <f t="shared" si="0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0</v>
      </c>
      <c r="Y23" s="19">
        <v>1</v>
      </c>
      <c r="Z23" s="20">
        <v>1</v>
      </c>
      <c r="AA23" s="21">
        <f t="shared" si="1"/>
      </c>
      <c r="AB23" s="22">
        <v>0</v>
      </c>
      <c r="AC23" s="23">
        <f>MIN(3, SUMPRODUCT((MOD('Streak'!C23:Z23,5)=0)*(MOD('Streak'!C23:Z23,10)&lt;&gt;0)*('Streak'!C23:Z23&gt;0))) * 5</f>
      </c>
      <c r="AD23" s="23">
        <f>MIN(2, SUMPRODUCT((MOD('Streak'!C23:Z23,10)=0)*('Streak'!C23:Z23&gt;0))) * 20</f>
      </c>
      <c r="AE23" s="24">
        <f t="shared" si="2"/>
      </c>
    </row>
    <row r="24">
      <c r="A24" s="17">
        <f t="shared" si="0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5">
        <v>0</v>
      </c>
      <c r="AA24" s="21">
        <f t="shared" si="1"/>
      </c>
      <c r="AB24" s="22">
        <v>0</v>
      </c>
      <c r="AC24" s="23">
        <f>MIN(3, SUMPRODUCT((MOD('Streak'!C24:Z24,5)=0)*(MOD('Streak'!C24:Z24,10)&lt;&gt;0)*('Streak'!C24:Z24&gt;0))) * 5</f>
      </c>
      <c r="AD24" s="23">
        <f>MIN(2, SUMPRODUCT((MOD('Streak'!C24:Z24,10)=0)*('Streak'!C24:Z24&gt;0))) * 20</f>
      </c>
      <c r="AE24" s="24">
        <f t="shared" si="2"/>
      </c>
    </row>
    <row r="25">
      <c r="A25" s="17">
        <f t="shared" si="0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5">
        <v>0</v>
      </c>
      <c r="AA25" s="21">
        <f t="shared" si="1"/>
      </c>
      <c r="AB25" s="22">
        <v>0</v>
      </c>
      <c r="AC25" s="23">
        <f>MIN(3, SUMPRODUCT((MOD('Streak'!C25:Z25,5)=0)*(MOD('Streak'!C25:Z25,10)&lt;&gt;0)*('Streak'!C25:Z25&gt;0))) * 5</f>
      </c>
      <c r="AD25" s="23">
        <f>MIN(2, SUMPRODUCT((MOD('Streak'!C25:Z25,10)=0)*('Streak'!C25:Z25&gt;0))) * 20</f>
      </c>
      <c r="AE25" s="24">
        <f t="shared" si="2"/>
      </c>
    </row>
    <row r="26">
      <c r="A26" s="17">
        <f t="shared" si="0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1</v>
      </c>
      <c r="Y26" s="19">
        <v>0</v>
      </c>
      <c r="Z26" s="25">
        <v>0</v>
      </c>
      <c r="AA26" s="21">
        <f t="shared" si="1"/>
      </c>
      <c r="AB26" s="22">
        <v>0</v>
      </c>
      <c r="AC26" s="23">
        <f>MIN(3, SUMPRODUCT((MOD('Streak'!C26:Z26,5)=0)*(MOD('Streak'!C26:Z26,10)&lt;&gt;0)*('Streak'!C26:Z26&gt;0))) * 5</f>
      </c>
      <c r="AD26" s="23">
        <f>MIN(2, SUMPRODUCT((MOD('Streak'!C26:Z26,10)=0)*('Streak'!C26:Z26&gt;0))) * 20</f>
      </c>
      <c r="AE26" s="24">
        <f t="shared" si="2"/>
      </c>
    </row>
    <row r="27">
      <c r="A27" s="17">
        <f t="shared" si="0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5">
        <v>0</v>
      </c>
      <c r="AA27" s="21">
        <f t="shared" si="1"/>
      </c>
      <c r="AB27" s="22">
        <v>0</v>
      </c>
      <c r="AC27" s="23">
        <f>MIN(3, SUMPRODUCT((MOD('Streak'!C27:Z27,5)=0)*(MOD('Streak'!C27:Z27,10)&lt;&gt;0)*('Streak'!C27:Z27&gt;0))) * 5</f>
      </c>
      <c r="AD27" s="23">
        <f>MIN(2, SUMPRODUCT((MOD('Streak'!C27:Z27,10)=0)*('Streak'!C27:Z27&gt;0))) * 20</f>
      </c>
      <c r="AE27" s="24">
        <f t="shared" si="2"/>
      </c>
    </row>
    <row r="28">
      <c r="A28" s="17">
        <f t="shared" si="0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1</v>
      </c>
      <c r="X28" s="19">
        <v>0</v>
      </c>
      <c r="Y28" s="19">
        <v>0</v>
      </c>
      <c r="Z28" s="25">
        <v>0</v>
      </c>
      <c r="AA28" s="21">
        <f t="shared" si="1"/>
      </c>
      <c r="AB28" s="22">
        <v>0</v>
      </c>
      <c r="AC28" s="23">
        <f>MIN(3, SUMPRODUCT((MOD('Streak'!C28:Z28,5)=0)*(MOD('Streak'!C28:Z28,10)&lt;&gt;0)*('Streak'!C28:Z28&gt;0))) * 5</f>
      </c>
      <c r="AD28" s="23">
        <f>MIN(2, SUMPRODUCT((MOD('Streak'!C28:Z28,10)=0)*('Streak'!C28:Z28&gt;0))) * 20</f>
      </c>
      <c r="AE28" s="24">
        <f t="shared" si="2"/>
      </c>
    </row>
    <row r="29">
      <c r="A29" s="17">
        <f t="shared" si="0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1</v>
      </c>
      <c r="Z29" s="25">
        <v>0</v>
      </c>
      <c r="AA29" s="21">
        <f t="shared" si="1"/>
      </c>
      <c r="AB29" s="22">
        <v>0</v>
      </c>
      <c r="AC29" s="23">
        <f>MIN(3, SUMPRODUCT((MOD('Streak'!C29:Z29,5)=0)*(MOD('Streak'!C29:Z29,10)&lt;&gt;0)*('Streak'!C29:Z29&gt;0))) * 5</f>
      </c>
      <c r="AD29" s="23">
        <f>MIN(2, SUMPRODUCT((MOD('Streak'!C29:Z29,10)=0)*('Streak'!C29:Z29&gt;0))) * 20</f>
      </c>
      <c r="AE29" s="24">
        <f t="shared" si="2"/>
      </c>
    </row>
    <row r="30">
      <c r="A30" s="17">
        <f t="shared" si="0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5">
        <v>0</v>
      </c>
      <c r="AA30" s="21">
        <f t="shared" si="1"/>
      </c>
      <c r="AB30" s="22">
        <v>0</v>
      </c>
      <c r="AC30" s="23">
        <f>MIN(3, SUMPRODUCT((MOD('Streak'!C30:Z30,5)=0)*(MOD('Streak'!C30:Z30,10)&lt;&gt;0)*('Streak'!C30:Z30&gt;0))) * 5</f>
      </c>
      <c r="AD30" s="23">
        <f>MIN(2, SUMPRODUCT((MOD('Streak'!C30:Z30,10)=0)*('Streak'!C30:Z30&gt;0))) * 20</f>
      </c>
      <c r="AE30" s="24">
        <f t="shared" si="2"/>
      </c>
    </row>
    <row r="31">
      <c r="A31" s="17">
        <f t="shared" si="0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1</v>
      </c>
      <c r="X31" s="19">
        <v>1</v>
      </c>
      <c r="Y31" s="19">
        <v>1</v>
      </c>
      <c r="Z31" s="20">
        <v>1</v>
      </c>
      <c r="AA31" s="21">
        <f t="shared" si="1"/>
      </c>
      <c r="AB31" s="22">
        <v>0</v>
      </c>
      <c r="AC31" s="23">
        <f>MIN(3, SUMPRODUCT((MOD('Streak'!C31:Z31,5)=0)*(MOD('Streak'!C31:Z31,10)&lt;&gt;0)*('Streak'!C31:Z31&gt;0))) * 5</f>
      </c>
      <c r="AD31" s="23">
        <f>MIN(2, SUMPRODUCT((MOD('Streak'!C31:Z31,10)=0)*('Streak'!C31:Z31&gt;0))) * 20</f>
      </c>
      <c r="AE31" s="24">
        <f t="shared" si="2"/>
      </c>
    </row>
    <row r="32">
      <c r="A32" s="17">
        <f t="shared" si="0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1</v>
      </c>
      <c r="W32" s="19">
        <v>1</v>
      </c>
      <c r="X32" s="19">
        <v>1</v>
      </c>
      <c r="Y32" s="19">
        <v>1</v>
      </c>
      <c r="Z32" s="25">
        <v>0</v>
      </c>
      <c r="AA32" s="21">
        <f t="shared" si="1"/>
      </c>
      <c r="AB32" s="22">
        <v>0</v>
      </c>
      <c r="AC32" s="23">
        <f>MIN(3, SUMPRODUCT((MOD('Streak'!C32:Z32,5)=0)*(MOD('Streak'!C32:Z32,10)&lt;&gt;0)*('Streak'!C32:Z32&gt;0))) * 5</f>
      </c>
      <c r="AD32" s="23">
        <f>MIN(2, SUMPRODUCT((MOD('Streak'!C32:Z32,10)=0)*('Streak'!C32:Z32&gt;0))) * 20</f>
      </c>
      <c r="AE32" s="24">
        <f t="shared" si="2"/>
      </c>
    </row>
    <row r="33">
      <c r="A33" s="17">
        <f t="shared" si="0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5">
        <v>0</v>
      </c>
      <c r="AA33" s="21">
        <f t="shared" si="1"/>
      </c>
      <c r="AB33" s="22">
        <v>0</v>
      </c>
      <c r="AC33" s="23">
        <f>MIN(3, SUMPRODUCT((MOD('Streak'!C33:Z33,5)=0)*(MOD('Streak'!C33:Z33,10)&lt;&gt;0)*('Streak'!C33:Z33&gt;0))) * 5</f>
      </c>
      <c r="AD33" s="23">
        <f>MIN(2, SUMPRODUCT((MOD('Streak'!C33:Z33,10)=0)*('Streak'!C33:Z33&gt;0))) * 20</f>
      </c>
      <c r="AE33" s="24">
        <f t="shared" si="2"/>
      </c>
    </row>
    <row r="34">
      <c r="A34" s="17">
        <f t="shared" si="0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5">
        <v>0</v>
      </c>
      <c r="AA34" s="21">
        <f t="shared" si="1"/>
      </c>
      <c r="AB34" s="22">
        <v>0</v>
      </c>
      <c r="AC34" s="23">
        <f>MIN(3, SUMPRODUCT((MOD('Streak'!C34:Z34,5)=0)*(MOD('Streak'!C34:Z34,10)&lt;&gt;0)*('Streak'!C34:Z34&gt;0))) * 5</f>
      </c>
      <c r="AD34" s="23">
        <f>MIN(2, SUMPRODUCT((MOD('Streak'!C34:Z34,10)=0)*('Streak'!C34:Z34&gt;0))) * 20</f>
      </c>
      <c r="AE34" s="24">
        <f t="shared" si="2"/>
      </c>
    </row>
    <row r="35">
      <c r="A35" s="17">
        <f t="shared" si="0"/>
      </c>
      <c r="B35" s="27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1</v>
      </c>
      <c r="X35" s="19">
        <v>0</v>
      </c>
      <c r="Y35" s="19">
        <v>0</v>
      </c>
      <c r="Z35" s="25">
        <v>0</v>
      </c>
      <c r="AA35" s="21">
        <f t="shared" si="1"/>
      </c>
      <c r="AB35" s="22">
        <v>0</v>
      </c>
      <c r="AC35" s="23">
        <f>MIN(3, SUMPRODUCT((MOD('Streak'!C35:Z35,5)=0)*(MOD('Streak'!C35:Z35,10)&lt;&gt;0)*('Streak'!C35:Z35&gt;0))) * 5</f>
      </c>
      <c r="AD35" s="23">
        <f>MIN(2, SUMPRODUCT((MOD('Streak'!C35:Z35,10)=0)*('Streak'!C35:Z35&gt;0))) * 20</f>
      </c>
      <c r="AE35" s="24">
        <f t="shared" si="2"/>
      </c>
    </row>
    <row r="36">
      <c r="A36" s="17">
        <f t="shared" si="0"/>
      </c>
      <c r="B36" s="27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5">
        <v>0</v>
      </c>
      <c r="AA36" s="21">
        <f t="shared" si="1"/>
      </c>
      <c r="AB36" s="22">
        <v>0</v>
      </c>
      <c r="AC36" s="23">
        <f>MIN(3, SUMPRODUCT((MOD('Streak'!C36:Z36,5)=0)*(MOD('Streak'!C36:Z36,10)&lt;&gt;0)*('Streak'!C36:Z36&gt;0))) * 5</f>
      </c>
      <c r="AD36" s="23">
        <f>MIN(2, SUMPRODUCT((MOD('Streak'!C36:Z36,10)=0)*('Streak'!C36:Z36&gt;0))) * 20</f>
      </c>
      <c r="AE36" s="24">
        <f t="shared" si="2"/>
      </c>
    </row>
    <row r="37">
      <c r="A37" s="17">
        <f t="shared" si="0"/>
      </c>
      <c r="B37" s="27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1</v>
      </c>
      <c r="W37" s="19">
        <v>1</v>
      </c>
      <c r="X37" s="19">
        <v>1</v>
      </c>
      <c r="Y37" s="19">
        <v>1</v>
      </c>
      <c r="Z37" s="25">
        <v>0</v>
      </c>
      <c r="AA37" s="21">
        <f t="shared" si="1"/>
      </c>
      <c r="AB37" s="22">
        <v>0</v>
      </c>
      <c r="AC37" s="23">
        <f>MIN(3, SUMPRODUCT((MOD('Streak'!C37:Z37,5)=0)*(MOD('Streak'!C37:Z37,10)&lt;&gt;0)*('Streak'!C37:Z37&gt;0))) * 5</f>
      </c>
      <c r="AD37" s="23">
        <f>MIN(2, SUMPRODUCT((MOD('Streak'!C37:Z37,10)=0)*('Streak'!C37:Z37&gt;0))) * 20</f>
      </c>
      <c r="AE37" s="24">
        <f t="shared" si="2"/>
      </c>
    </row>
    <row r="38">
      <c r="A38" s="17">
        <f t="shared" si="0"/>
      </c>
      <c r="B38" s="27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5">
        <v>0</v>
      </c>
      <c r="AA38" s="21">
        <f t="shared" si="1"/>
      </c>
      <c r="AB38" s="22">
        <v>0</v>
      </c>
      <c r="AC38" s="23">
        <f>MIN(3, SUMPRODUCT((MOD('Streak'!C38:Z38,5)=0)*(MOD('Streak'!C38:Z38,10)&lt;&gt;0)*('Streak'!C38:Z38&gt;0))) * 5</f>
      </c>
      <c r="AD38" s="23">
        <f>MIN(2, SUMPRODUCT((MOD('Streak'!C38:Z38,10)=0)*('Streak'!C38:Z38&gt;0))) * 20</f>
      </c>
      <c r="AE38" s="24">
        <f t="shared" si="2"/>
      </c>
    </row>
    <row r="39">
      <c r="A39" s="17">
        <f t="shared" si="0"/>
      </c>
      <c r="B39" s="27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1</v>
      </c>
      <c r="X39" s="19">
        <v>0</v>
      </c>
      <c r="Y39" s="19">
        <v>0</v>
      </c>
      <c r="Z39" s="25">
        <v>0</v>
      </c>
      <c r="AA39" s="21">
        <f t="shared" si="1"/>
      </c>
      <c r="AB39" s="22">
        <v>0</v>
      </c>
      <c r="AC39" s="23">
        <f>MIN(3, SUMPRODUCT((MOD('Streak'!C39:Z39,5)=0)*(MOD('Streak'!C39:Z39,10)&lt;&gt;0)*('Streak'!C39:Z39&gt;0))) * 5</f>
      </c>
      <c r="AD39" s="23">
        <f>MIN(2, SUMPRODUCT((MOD('Streak'!C39:Z39,10)=0)*('Streak'!C39:Z39&gt;0))) * 20</f>
      </c>
      <c r="AE39" s="24">
        <f t="shared" si="2"/>
      </c>
    </row>
    <row r="40">
      <c r="A40" s="17">
        <f t="shared" si="0"/>
      </c>
      <c r="B40" s="27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5">
        <v>0</v>
      </c>
      <c r="AA40" s="21">
        <f t="shared" si="1"/>
      </c>
      <c r="AB40" s="22">
        <v>0</v>
      </c>
      <c r="AC40" s="23">
        <f>MIN(3, SUMPRODUCT((MOD('Streak'!C40:Z40,5)=0)*(MOD('Streak'!C40:Z40,10)&lt;&gt;0)*('Streak'!C40:Z40&gt;0))) * 5</f>
      </c>
      <c r="AD40" s="23">
        <f>MIN(2, SUMPRODUCT((MOD('Streak'!C40:Z40,10)=0)*('Streak'!C40:Z40&gt;0))) * 20</f>
      </c>
      <c r="AE40" s="24">
        <f t="shared" si="2"/>
      </c>
    </row>
    <row r="41">
      <c r="A41" s="17">
        <f t="shared" si="0"/>
      </c>
      <c r="B41" s="27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0</v>
      </c>
      <c r="Y41" s="19">
        <v>0</v>
      </c>
      <c r="Z41" s="25">
        <v>0</v>
      </c>
      <c r="AA41" s="21">
        <f t="shared" si="1"/>
      </c>
      <c r="AB41" s="22">
        <v>0</v>
      </c>
      <c r="AC41" s="23">
        <f>MIN(3, SUMPRODUCT((MOD('Streak'!C41:Z41,5)=0)*(MOD('Streak'!C41:Z41,10)&lt;&gt;0)*('Streak'!C41:Z41&gt;0))) * 5</f>
      </c>
      <c r="AD41" s="23">
        <f>MIN(2, SUMPRODUCT((MOD('Streak'!C41:Z41,10)=0)*('Streak'!C41:Z41&gt;0))) * 20</f>
      </c>
      <c r="AE41" s="24">
        <f t="shared" si="2"/>
      </c>
    </row>
    <row r="42">
      <c r="A42" s="17">
        <f t="shared" si="0"/>
      </c>
      <c r="B42" s="27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1</v>
      </c>
      <c r="Y42" s="19">
        <v>1</v>
      </c>
      <c r="Z42" s="28">
        <v>1</v>
      </c>
      <c r="AA42" s="21">
        <f t="shared" si="1"/>
      </c>
      <c r="AB42" s="22">
        <v>0</v>
      </c>
      <c r="AC42" s="23">
        <f>MIN(3, SUMPRODUCT((MOD('Streak'!C42:Z42,5)=0)*(MOD('Streak'!C42:Z42,10)&lt;&gt;0)*('Streak'!C42:Z42&gt;0))) * 5</f>
      </c>
      <c r="AD42" s="23">
        <f>MIN(2, SUMPRODUCT((MOD('Streak'!C42:Z42,10)=0)*('Streak'!C42:Z42&gt;0))) * 20</f>
      </c>
      <c r="AE42" s="24">
        <f t="shared" si="2"/>
      </c>
    </row>
    <row r="43">
      <c r="A43" s="17">
        <f t="shared" si="0"/>
      </c>
      <c r="B43" s="27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1</v>
      </c>
      <c r="Y43" s="19">
        <v>0</v>
      </c>
      <c r="Z43" s="25">
        <v>0</v>
      </c>
      <c r="AA43" s="21">
        <f t="shared" si="1"/>
      </c>
      <c r="AB43" s="22">
        <v>0</v>
      </c>
      <c r="AC43" s="23">
        <f>MIN(3, SUMPRODUCT((MOD('Streak'!C43:Z43,5)=0)*(MOD('Streak'!C43:Z43,10)&lt;&gt;0)*('Streak'!C43:Z43&gt;0))) * 5</f>
      </c>
      <c r="AD43" s="23">
        <f>MIN(2, SUMPRODUCT((MOD('Streak'!C43:Z43,10)=0)*('Streak'!C43:Z43&gt;0))) * 20</f>
      </c>
      <c r="AE43" s="24">
        <f t="shared" si="2"/>
      </c>
    </row>
    <row r="44">
      <c r="A44" s="17">
        <f t="shared" si="0"/>
      </c>
      <c r="B44" s="27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</v>
      </c>
      <c r="X44" s="19">
        <v>0</v>
      </c>
      <c r="Y44" s="19">
        <v>0</v>
      </c>
      <c r="Z44" s="25">
        <v>0</v>
      </c>
      <c r="AA44" s="21">
        <f t="shared" si="1"/>
      </c>
      <c r="AB44" s="22">
        <v>0</v>
      </c>
      <c r="AC44" s="23">
        <f>MIN(3, SUMPRODUCT((MOD('Streak'!C44:Z44,5)=0)*(MOD('Streak'!C44:Z44,10)&lt;&gt;0)*('Streak'!C44:Z44&gt;0))) * 5</f>
      </c>
      <c r="AD44" s="23">
        <f>MIN(2, SUMPRODUCT((MOD('Streak'!C44:Z44,10)=0)*('Streak'!C44:Z44&gt;0))) * 20</f>
      </c>
      <c r="AE44" s="24">
        <f t="shared" si="2"/>
      </c>
    </row>
    <row r="45">
      <c r="A45" s="17">
        <f t="shared" si="0"/>
      </c>
      <c r="B45" s="27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5">
        <v>0</v>
      </c>
      <c r="AA45" s="21">
        <f t="shared" si="1"/>
      </c>
      <c r="AB45" s="22">
        <v>0</v>
      </c>
      <c r="AC45" s="23">
        <f>MIN(3, SUMPRODUCT((MOD('Streak'!C45:Z45,5)=0)*(MOD('Streak'!C45:Z45,10)&lt;&gt;0)*('Streak'!C45:Z45&gt;0))) * 5</f>
      </c>
      <c r="AD45" s="23">
        <f>MIN(2, SUMPRODUCT((MOD('Streak'!C45:Z45,10)=0)*('Streak'!C45:Z45&gt;0))) * 20</f>
      </c>
      <c r="AE45" s="24">
        <f t="shared" si="2"/>
      </c>
    </row>
    <row r="46">
      <c r="A46" s="17">
        <f t="shared" si="0"/>
      </c>
      <c r="B46" s="27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5">
        <v>0</v>
      </c>
      <c r="AA46" s="21">
        <f t="shared" si="1"/>
      </c>
      <c r="AB46" s="22">
        <v>0</v>
      </c>
      <c r="AC46" s="23">
        <f>MIN(3, SUMPRODUCT((MOD('Streak'!C46:Z46,5)=0)*(MOD('Streak'!C46:Z46,10)&lt;&gt;0)*('Streak'!C46:Z46&gt;0))) * 5</f>
      </c>
      <c r="AD46" s="23">
        <f>MIN(2, SUMPRODUCT((MOD('Streak'!C46:Z46,10)=0)*('Streak'!C46:Z46&gt;0))) * 20</f>
      </c>
      <c r="AE46" s="24">
        <f t="shared" si="2"/>
      </c>
    </row>
    <row r="47">
      <c r="A47" s="17">
        <f t="shared" si="0"/>
      </c>
      <c r="B47" s="27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5">
        <v>0</v>
      </c>
      <c r="AA47" s="21">
        <f t="shared" si="1"/>
      </c>
      <c r="AB47" s="22">
        <v>0</v>
      </c>
      <c r="AC47" s="23">
        <f>MIN(3, SUMPRODUCT((MOD('Streak'!C47:Z47,5)=0)*(MOD('Streak'!C47:Z47,10)&lt;&gt;0)*('Streak'!C47:Z47&gt;0))) * 5</f>
      </c>
      <c r="AD47" s="23">
        <f>MIN(2, SUMPRODUCT((MOD('Streak'!C47:Z47,10)=0)*('Streak'!C47:Z47&gt;0))) * 20</f>
      </c>
      <c r="AE47" s="24">
        <f t="shared" si="2"/>
      </c>
    </row>
    <row r="48">
      <c r="A48" s="17">
        <f t="shared" si="0"/>
      </c>
      <c r="B48" s="27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5">
        <v>0</v>
      </c>
      <c r="AA48" s="21">
        <f t="shared" si="1"/>
      </c>
      <c r="AB48" s="22">
        <v>0</v>
      </c>
      <c r="AC48" s="23">
        <f>MIN(3, SUMPRODUCT((MOD('Streak'!C48:Z48,5)=0)*(MOD('Streak'!C48:Z48,10)&lt;&gt;0)*('Streak'!C48:Z48&gt;0))) * 5</f>
      </c>
      <c r="AD48" s="23">
        <f>MIN(2, SUMPRODUCT((MOD('Streak'!C48:Z48,10)=0)*('Streak'!C48:Z48&gt;0))) * 20</f>
      </c>
      <c r="AE48" s="24">
        <f t="shared" si="2"/>
      </c>
    </row>
    <row r="49">
      <c r="A49" s="17">
        <f t="shared" si="0"/>
      </c>
      <c r="B49" s="27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5">
        <v>0</v>
      </c>
      <c r="AA49" s="21">
        <f t="shared" si="1"/>
      </c>
      <c r="AB49" s="22">
        <v>0</v>
      </c>
      <c r="AC49" s="23">
        <f>MIN(3, SUMPRODUCT((MOD('Streak'!C49:Z49,5)=0)*(MOD('Streak'!C49:Z49,10)&lt;&gt;0)*('Streak'!C49:Z49&gt;0))) * 5</f>
      </c>
      <c r="AD49" s="23">
        <f>MIN(2, SUMPRODUCT((MOD('Streak'!C49:Z49,10)=0)*('Streak'!C49:Z49&gt;0))) * 20</f>
      </c>
      <c r="AE49" s="24">
        <f t="shared" si="2"/>
      </c>
    </row>
    <row r="50">
      <c r="A50" s="17">
        <f t="shared" si="0"/>
      </c>
      <c r="B50" s="27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5">
        <v>0</v>
      </c>
      <c r="AA50" s="21">
        <f t="shared" si="1"/>
      </c>
      <c r="AB50" s="22">
        <v>0</v>
      </c>
      <c r="AC50" s="23">
        <f>MIN(3, SUMPRODUCT((MOD('Streak'!C50:Z50,5)=0)*(MOD('Streak'!C50:Z50,10)&lt;&gt;0)*('Streak'!C50:Z50&gt;0))) * 5</f>
      </c>
      <c r="AD50" s="23">
        <f>MIN(2, SUMPRODUCT((MOD('Streak'!C50:Z50,10)=0)*('Streak'!C50:Z50&gt;0))) * 20</f>
      </c>
      <c r="AE50" s="24">
        <f t="shared" si="2"/>
      </c>
    </row>
    <row r="51">
      <c r="A51" s="17">
        <f t="shared" si="0"/>
      </c>
      <c r="B51" s="27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5">
        <v>0</v>
      </c>
      <c r="AA51" s="21">
        <f t="shared" si="1"/>
      </c>
      <c r="AB51" s="22">
        <v>0</v>
      </c>
      <c r="AC51" s="23">
        <f>MIN(3, SUMPRODUCT((MOD('Streak'!C51:Z51,5)=0)*(MOD('Streak'!C51:Z51,10)&lt;&gt;0)*('Streak'!C51:Z51&gt;0))) * 5</f>
      </c>
      <c r="AD51" s="23">
        <f>MIN(2, SUMPRODUCT((MOD('Streak'!C51:Z51,10)=0)*('Streak'!C51:Z51&gt;0))) * 20</f>
      </c>
      <c r="AE51" s="24">
        <f t="shared" si="2"/>
      </c>
    </row>
    <row customHeight="true" ht="18" r="52">
      <c r="A52" s="17">
        <f t="shared" si="0"/>
      </c>
      <c r="B52" s="27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1</v>
      </c>
      <c r="X52" s="19">
        <v>1</v>
      </c>
      <c r="Y52" s="19">
        <v>1</v>
      </c>
      <c r="Z52" s="20">
        <v>1</v>
      </c>
      <c r="AA52" s="21">
        <f t="shared" si="1"/>
      </c>
      <c r="AB52" s="22">
        <v>0</v>
      </c>
      <c r="AC52" s="23">
        <f>MIN(3, SUMPRODUCT((MOD('Streak'!C52:Z52,5)=0)*(MOD('Streak'!C52:Z52,10)&lt;&gt;0)*('Streak'!C52:Z52&gt;0))) * 5</f>
      </c>
      <c r="AD52" s="23">
        <f>MIN(2, SUMPRODUCT((MOD('Streak'!C52:Z52,10)=0)*('Streak'!C52:Z52&gt;0))) * 20</f>
      </c>
      <c r="AE52" s="24">
        <f t="shared" si="2"/>
      </c>
    </row>
    <row customHeight="true" ht="18" r="53">
      <c r="A53" s="17">
        <f t="shared" si="0"/>
      </c>
      <c r="B53" s="27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5">
        <v>0</v>
      </c>
      <c r="AA53" s="21">
        <f t="shared" si="1"/>
      </c>
      <c r="AB53" s="22">
        <v>0</v>
      </c>
      <c r="AC53" s="23">
        <f>MIN(3, SUMPRODUCT((MOD('Streak'!C53:Z53,5)=0)*(MOD('Streak'!C53:Z53,10)&lt;&gt;0)*('Streak'!C53:Z53&gt;0))) * 5</f>
      </c>
      <c r="AD53" s="23">
        <f>MIN(2, SUMPRODUCT((MOD('Streak'!C53:Z53,10)=0)*('Streak'!C53:Z53&gt;0))) * 20</f>
      </c>
      <c r="AE53" s="24">
        <f t="shared" si="2"/>
      </c>
    </row>
    <row customHeight="true" ht="18" r="54">
      <c r="A54" s="17">
        <f t="shared" si="0"/>
      </c>
      <c r="B54" s="27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1</v>
      </c>
      <c r="W54" s="19">
        <v>1</v>
      </c>
      <c r="X54" s="19">
        <v>0</v>
      </c>
      <c r="Y54" s="19">
        <v>0</v>
      </c>
      <c r="Z54" s="25">
        <v>0</v>
      </c>
      <c r="AA54" s="21">
        <f t="shared" si="1"/>
      </c>
      <c r="AB54" s="22">
        <v>0</v>
      </c>
      <c r="AC54" s="23">
        <f>MIN(3, SUMPRODUCT((MOD('Streak'!C54:Z54,5)=0)*(MOD('Streak'!C54:Z54,10)&lt;&gt;0)*('Streak'!C54:Z54&gt;0))) * 5</f>
      </c>
      <c r="AD54" s="23">
        <f>MIN(2, SUMPRODUCT((MOD('Streak'!C54:Z54,10)=0)*('Streak'!C54:Z54&gt;0))) * 20</f>
      </c>
      <c r="AE54" s="24">
        <f t="shared" si="2"/>
      </c>
    </row>
    <row customHeight="true" ht="18" r="55">
      <c r="A55" s="17">
        <f t="shared" si="0"/>
      </c>
      <c r="B55" s="27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1</v>
      </c>
      <c r="Y55" s="19">
        <v>0</v>
      </c>
      <c r="Z55" s="25">
        <v>0</v>
      </c>
      <c r="AA55" s="21">
        <f t="shared" si="1"/>
      </c>
      <c r="AB55" s="22">
        <v>0</v>
      </c>
      <c r="AC55" s="23">
        <f>MIN(3, SUMPRODUCT((MOD('Streak'!C55:Z55,5)=0)*(MOD('Streak'!C55:Z55,10)&lt;&gt;0)*('Streak'!C55:Z55&gt;0))) * 5</f>
      </c>
      <c r="AD55" s="23">
        <f>MIN(2, SUMPRODUCT((MOD('Streak'!C55:Z55,10)=0)*('Streak'!C55:Z55&gt;0))) * 20</f>
      </c>
      <c r="AE55" s="24">
        <f t="shared" si="2"/>
      </c>
    </row>
    <row customHeight="true" ht="18" r="56">
      <c r="A56" s="17">
        <f t="shared" si="0"/>
      </c>
      <c r="B56" s="27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1</v>
      </c>
      <c r="Y56" s="19">
        <v>1</v>
      </c>
      <c r="Z56" s="25">
        <v>0</v>
      </c>
      <c r="AA56" s="21">
        <f t="shared" si="1"/>
      </c>
      <c r="AB56" s="22">
        <v>0</v>
      </c>
      <c r="AC56" s="23">
        <f>MIN(3, SUMPRODUCT((MOD('Streak'!C56:Z56,5)=0)*(MOD('Streak'!C56:Z56,10)&lt;&gt;0)*('Streak'!C56:Z56&gt;0))) * 5</f>
      </c>
      <c r="AD56" s="23">
        <f>MIN(2, SUMPRODUCT((MOD('Streak'!C56:Z56,10)=0)*('Streak'!C56:Z56&gt;0))) * 20</f>
      </c>
      <c r="AE56" s="24">
        <f t="shared" si="2"/>
      </c>
    </row>
    <row customHeight="true" ht="18" r="57">
      <c r="A57" s="17">
        <f t="shared" si="0"/>
      </c>
      <c r="B57" s="27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5">
        <v>0</v>
      </c>
      <c r="AA57" s="21">
        <f t="shared" si="1"/>
      </c>
      <c r="AB57" s="22">
        <v>0</v>
      </c>
      <c r="AC57" s="23">
        <f>MIN(3, SUMPRODUCT((MOD('Streak'!C57:Z57,5)=0)*(MOD('Streak'!C57:Z57,10)&lt;&gt;0)*('Streak'!C57:Z57&gt;0))) * 5</f>
      </c>
      <c r="AD57" s="23">
        <f>MIN(2, SUMPRODUCT((MOD('Streak'!C57:Z57,10)=0)*('Streak'!C57:Z57&gt;0))) * 20</f>
      </c>
      <c r="AE57" s="24">
        <f t="shared" si="2"/>
      </c>
    </row>
    <row customHeight="true" ht="18" r="58">
      <c r="A58" s="17">
        <f t="shared" si="0"/>
      </c>
      <c r="B58" s="27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5">
        <v>0</v>
      </c>
      <c r="AA58" s="21">
        <f t="shared" si="1"/>
      </c>
      <c r="AB58" s="22">
        <v>0</v>
      </c>
      <c r="AC58" s="23">
        <f>MIN(3, SUMPRODUCT((MOD('Streak'!C58:Z58,5)=0)*(MOD('Streak'!C58:Z58,10)&lt;&gt;0)*('Streak'!C58:Z58&gt;0))) * 5</f>
      </c>
      <c r="AD58" s="23">
        <f>MIN(2, SUMPRODUCT((MOD('Streak'!C58:Z58,10)=0)*('Streak'!C58:Z58&gt;0))) * 20</f>
      </c>
      <c r="AE58" s="24">
        <f t="shared" si="2"/>
      </c>
    </row>
    <row customHeight="true" ht="18" r="59">
      <c r="A59" s="17">
        <f t="shared" si="0"/>
      </c>
      <c r="B59" s="27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1</v>
      </c>
      <c r="X59" s="19">
        <v>0</v>
      </c>
      <c r="Y59" s="19">
        <v>1</v>
      </c>
      <c r="Z59" s="25">
        <v>0</v>
      </c>
      <c r="AA59" s="21">
        <f t="shared" si="1"/>
      </c>
      <c r="AB59" s="22">
        <v>0</v>
      </c>
      <c r="AC59" s="23">
        <f>MIN(3, SUMPRODUCT((MOD('Streak'!C59:Z59,5)=0)*(MOD('Streak'!C59:Z59,10)&lt;&gt;0)*('Streak'!C59:Z59&gt;0))) * 5</f>
      </c>
      <c r="AD59" s="23">
        <f>MIN(2, SUMPRODUCT((MOD('Streak'!C59:Z59,10)=0)*('Streak'!C59:Z59&gt;0))) * 20</f>
      </c>
      <c r="AE59" s="24">
        <f t="shared" si="2"/>
      </c>
    </row>
    <row customHeight="true" ht="18" r="60">
      <c r="A60" s="17">
        <f t="shared" si="0"/>
      </c>
      <c r="B60" s="27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5">
        <v>0</v>
      </c>
      <c r="AA60" s="21">
        <f t="shared" si="1"/>
      </c>
      <c r="AB60" s="22">
        <v>0</v>
      </c>
      <c r="AC60" s="23">
        <f>MIN(3, SUMPRODUCT((MOD('Streak'!C60:Z60,5)=0)*(MOD('Streak'!C60:Z60,10)&lt;&gt;0)*('Streak'!C60:Z60&gt;0))) * 5</f>
      </c>
      <c r="AD60" s="23">
        <f>MIN(2, SUMPRODUCT((MOD('Streak'!C60:Z60,10)=0)*('Streak'!C60:Z60&gt;0))) * 20</f>
      </c>
      <c r="AE60" s="24">
        <f t="shared" si="2"/>
      </c>
    </row>
    <row customHeight="true" ht="18" r="61">
      <c r="A61" s="17">
        <f t="shared" si="0"/>
      </c>
      <c r="B61" s="27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5">
        <v>0</v>
      </c>
      <c r="AA61" s="21">
        <f t="shared" si="1"/>
      </c>
      <c r="AB61" s="22">
        <v>0</v>
      </c>
      <c r="AC61" s="23">
        <f>MIN(3, SUMPRODUCT((MOD('Streak'!C61:Z61,5)=0)*(MOD('Streak'!C61:Z61,10)&lt;&gt;0)*('Streak'!C61:Z61&gt;0))) * 5</f>
      </c>
      <c r="AD61" s="23">
        <f>MIN(2, SUMPRODUCT((MOD('Streak'!C61:Z61,10)=0)*('Streak'!C61:Z61&gt;0))) * 20</f>
      </c>
      <c r="AE61" s="24">
        <f t="shared" si="2"/>
      </c>
    </row>
    <row customHeight="true" ht="18" r="62">
      <c r="A62" s="17">
        <f t="shared" si="0"/>
      </c>
      <c r="B62" s="27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1</v>
      </c>
      <c r="Z62" s="25">
        <v>0</v>
      </c>
      <c r="AA62" s="21">
        <f t="shared" si="1"/>
      </c>
      <c r="AB62" s="22">
        <v>0</v>
      </c>
      <c r="AC62" s="23">
        <f>MIN(3, SUMPRODUCT((MOD('Streak'!C62:Z62,5)=0)*(MOD('Streak'!C62:Z62,10)&lt;&gt;0)*('Streak'!C62:Z62&gt;0))) * 5</f>
      </c>
      <c r="AD62" s="23">
        <f>MIN(2, SUMPRODUCT((MOD('Streak'!C62:Z62,10)=0)*('Streak'!C62:Z62&gt;0))) * 20</f>
      </c>
      <c r="AE62" s="24">
        <f t="shared" si="2"/>
      </c>
    </row>
    <row customHeight="true" ht="18" r="63">
      <c r="A63" s="17">
        <f t="shared" si="0"/>
      </c>
      <c r="B63" s="27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5">
        <v>0</v>
      </c>
      <c r="AA63" s="21">
        <f t="shared" si="1"/>
      </c>
      <c r="AB63" s="22">
        <v>0</v>
      </c>
      <c r="AC63" s="23">
        <f>MIN(3, SUMPRODUCT((MOD('Streak'!C63:Z63,5)=0)*(MOD('Streak'!C63:Z63,10)&lt;&gt;0)*('Streak'!C63:Z63&gt;0))) * 5</f>
      </c>
      <c r="AD63" s="23">
        <f>MIN(2, SUMPRODUCT((MOD('Streak'!C63:Z63,10)=0)*('Streak'!C63:Z63&gt;0))) * 20</f>
      </c>
      <c r="AE63" s="24">
        <f t="shared" si="2"/>
      </c>
    </row>
    <row customHeight="true" ht="18" r="64">
      <c r="A64" s="17">
        <f t="shared" si="0"/>
      </c>
      <c r="B64" s="27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5">
        <v>0</v>
      </c>
      <c r="AA64" s="21">
        <f t="shared" si="1"/>
      </c>
      <c r="AB64" s="22">
        <v>0</v>
      </c>
      <c r="AC64" s="23">
        <f>MIN(3, SUMPRODUCT((MOD('Streak'!C64:Z64,5)=0)*(MOD('Streak'!C64:Z64,10)&lt;&gt;0)*('Streak'!C64:Z64&gt;0))) * 5</f>
      </c>
      <c r="AD64" s="23">
        <f>MIN(2, SUMPRODUCT((MOD('Streak'!C64:Z64,10)=0)*('Streak'!C64:Z64&gt;0))) * 20</f>
      </c>
      <c r="AE64" s="24">
        <f t="shared" si="2"/>
      </c>
    </row>
    <row customHeight="true" ht="18" r="65">
      <c r="A65" s="17">
        <f t="shared" si="0"/>
      </c>
      <c r="B65" s="27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5">
        <v>0</v>
      </c>
      <c r="AA65" s="21">
        <f t="shared" si="1"/>
      </c>
      <c r="AB65" s="22">
        <v>0</v>
      </c>
      <c r="AC65" s="23">
        <f>MIN(3, SUMPRODUCT((MOD('Streak'!C65:Z65,5)=0)*(MOD('Streak'!C65:Z65,10)&lt;&gt;0)*('Streak'!C65:Z65&gt;0))) * 5</f>
      </c>
      <c r="AD65" s="23">
        <f>MIN(2, SUMPRODUCT((MOD('Streak'!C65:Z65,10)=0)*('Streak'!C65:Z65&gt;0))) * 20</f>
      </c>
      <c r="AE65" s="24">
        <f t="shared" si="2"/>
      </c>
    </row>
    <row customHeight="true" ht="18" r="66">
      <c r="A66" s="17">
        <f t="shared" si="0"/>
      </c>
      <c r="B66" s="27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1</v>
      </c>
      <c r="W66" s="19">
        <v>1</v>
      </c>
      <c r="X66" s="19">
        <v>0</v>
      </c>
      <c r="Y66" s="19">
        <v>1</v>
      </c>
      <c r="Z66" s="25">
        <v>0</v>
      </c>
      <c r="AA66" s="21">
        <f t="shared" si="1"/>
      </c>
      <c r="AB66" s="22">
        <v>0</v>
      </c>
      <c r="AC66" s="23">
        <f>MIN(3, SUMPRODUCT((MOD('Streak'!C66:Z66,5)=0)*(MOD('Streak'!C66:Z66,10)&lt;&gt;0)*('Streak'!C66:Z66&gt;0))) * 5</f>
      </c>
      <c r="AD66" s="23">
        <f>MIN(2, SUMPRODUCT((MOD('Streak'!C66:Z66,10)=0)*('Streak'!C66:Z66&gt;0))) * 20</f>
      </c>
      <c r="AE66" s="24">
        <f t="shared" si="2"/>
      </c>
    </row>
    <row customHeight="true" ht="18" r="67">
      <c r="A67" s="17">
        <f t="shared" si="0"/>
      </c>
      <c r="B67" s="27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1</v>
      </c>
      <c r="Y67" s="19">
        <v>0</v>
      </c>
      <c r="Z67" s="25">
        <v>0</v>
      </c>
      <c r="AA67" s="21">
        <f t="shared" si="1"/>
      </c>
      <c r="AB67" s="22">
        <v>0</v>
      </c>
      <c r="AC67" s="23">
        <f>MIN(3, SUMPRODUCT((MOD('Streak'!C67:Z67,5)=0)*(MOD('Streak'!C67:Z67,10)&lt;&gt;0)*('Streak'!C67:Z67&gt;0))) * 5</f>
      </c>
      <c r="AD67" s="23">
        <f>MIN(2, SUMPRODUCT((MOD('Streak'!C67:Z67,10)=0)*('Streak'!C67:Z67&gt;0))) * 20</f>
      </c>
      <c r="AE67" s="24">
        <f t="shared" si="2"/>
      </c>
    </row>
    <row customHeight="true" ht="18" r="68">
      <c r="A68" s="17">
        <f t="shared" si="0"/>
      </c>
      <c r="B68" s="27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5">
        <v>0</v>
      </c>
      <c r="AA68" s="21">
        <f t="shared" si="1"/>
      </c>
      <c r="AB68" s="22">
        <v>0</v>
      </c>
      <c r="AC68" s="23">
        <f>MIN(3, SUMPRODUCT((MOD('Streak'!C68:Z68,5)=0)*(MOD('Streak'!C68:Z68,10)&lt;&gt;0)*('Streak'!C68:Z68&gt;0))) * 5</f>
      </c>
      <c r="AD68" s="23">
        <f>MIN(2, SUMPRODUCT((MOD('Streak'!C68:Z68,10)=0)*('Streak'!C68:Z68&gt;0))) * 20</f>
      </c>
      <c r="AE68" s="24">
        <f t="shared" si="2"/>
      </c>
    </row>
    <row customHeight="true" ht="18" r="69">
      <c r="A69" s="17">
        <f t="shared" si="0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5">
        <v>0</v>
      </c>
      <c r="AA69" s="21">
        <f t="shared" si="1"/>
      </c>
      <c r="AB69" s="22">
        <v>0</v>
      </c>
      <c r="AC69" s="23">
        <f>MIN(3, SUMPRODUCT((MOD('Streak'!C69:Z69,5)=0)*(MOD('Streak'!C69:Z69,10)&lt;&gt;0)*('Streak'!C69:Z69&gt;0))) * 5</f>
      </c>
      <c r="AD69" s="23">
        <f>MIN(2, SUMPRODUCT((MOD('Streak'!C69:Z69,10)=0)*('Streak'!C69:Z69&gt;0))) * 20</f>
      </c>
      <c r="AE69" s="24">
        <f t="shared" si="2"/>
      </c>
    </row>
    <row customHeight="true" ht="18" r="70">
      <c r="A70" s="17">
        <f t="shared" si="0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5">
        <v>0</v>
      </c>
      <c r="AA70" s="21">
        <f t="shared" si="1"/>
      </c>
      <c r="AB70" s="22">
        <v>0</v>
      </c>
      <c r="AC70" s="23">
        <f>MIN(3, SUMPRODUCT((MOD('Streak'!C70:Z70,5)=0)*(MOD('Streak'!C70:Z70,10)&lt;&gt;0)*('Streak'!C70:Z70&gt;0))) * 5</f>
      </c>
      <c r="AD70" s="23">
        <f>MIN(2, SUMPRODUCT((MOD('Streak'!C70:Z70,10)=0)*('Streak'!C70:Z70&gt;0))) * 20</f>
      </c>
      <c r="AE70" s="24">
        <f t="shared" si="2"/>
      </c>
    </row>
    <row customHeight="true" ht="18" r="71">
      <c r="A71" s="17">
        <f t="shared" si="0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5">
        <v>0</v>
      </c>
      <c r="AA71" s="21">
        <f t="shared" si="1"/>
      </c>
      <c r="AB71" s="22">
        <v>0</v>
      </c>
      <c r="AC71" s="23">
        <f>MIN(3, SUMPRODUCT((MOD('Streak'!C71:Z71,5)=0)*(MOD('Streak'!C71:Z71,10)&lt;&gt;0)*('Streak'!C71:Z71&gt;0))) * 5</f>
      </c>
      <c r="AD71" s="23">
        <f>MIN(2, SUMPRODUCT((MOD('Streak'!C71:Z71,10)=0)*('Streak'!C71:Z71&gt;0))) * 20</f>
      </c>
      <c r="AE71" s="24">
        <f t="shared" si="2"/>
      </c>
    </row>
    <row customHeight="true" ht="18" r="72">
      <c r="A72" s="17">
        <f t="shared" si="0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5">
        <v>0</v>
      </c>
      <c r="AA72" s="21">
        <f t="shared" si="1"/>
      </c>
      <c r="AB72" s="22">
        <v>0</v>
      </c>
      <c r="AC72" s="23">
        <f>MIN(3, SUMPRODUCT((MOD('Streak'!C72:Z72,5)=0)*(MOD('Streak'!C72:Z72,10)&lt;&gt;0)*('Streak'!C72:Z72&gt;0))) * 5</f>
      </c>
      <c r="AD72" s="23">
        <f>MIN(2, SUMPRODUCT((MOD('Streak'!C72:Z72,10)=0)*('Streak'!C72:Z72&gt;0))) * 20</f>
      </c>
      <c r="AE72" s="24">
        <f t="shared" si="2"/>
      </c>
    </row>
    <row customHeight="true" ht="18" r="73">
      <c r="A73" s="17">
        <f t="shared" si="0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5">
        <v>0</v>
      </c>
      <c r="AA73" s="21">
        <f t="shared" si="1"/>
      </c>
      <c r="AB73" s="22">
        <v>0</v>
      </c>
      <c r="AC73" s="23">
        <f>MIN(3, SUMPRODUCT((MOD('Streak'!C73:Z73,5)=0)*(MOD('Streak'!C73:Z73,10)&lt;&gt;0)*('Streak'!C73:Z73&gt;0))) * 5</f>
      </c>
      <c r="AD73" s="23">
        <f>MIN(2, SUMPRODUCT((MOD('Streak'!C73:Z73,10)=0)*('Streak'!C73:Z73&gt;0))) * 20</f>
      </c>
      <c r="AE73" s="24">
        <f t="shared" si="2"/>
      </c>
    </row>
    <row customHeight="true" ht="18" r="74">
      <c r="A74" s="17">
        <f t="shared" si="0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1</v>
      </c>
      <c r="X74" s="19">
        <v>0</v>
      </c>
      <c r="Y74" s="19">
        <v>0</v>
      </c>
      <c r="Z74" s="25">
        <v>0</v>
      </c>
      <c r="AA74" s="21">
        <f t="shared" si="1"/>
      </c>
      <c r="AB74" s="22">
        <v>0</v>
      </c>
      <c r="AC74" s="23">
        <f>MIN(3, SUMPRODUCT((MOD('Streak'!C74:Z74,5)=0)*(MOD('Streak'!C74:Z74,10)&lt;&gt;0)*('Streak'!C74:Z74&gt;0))) * 5</f>
      </c>
      <c r="AD74" s="23">
        <f>MIN(2, SUMPRODUCT((MOD('Streak'!C74:Z74,10)=0)*('Streak'!C74:Z74&gt;0))) * 20</f>
      </c>
      <c r="AE74" s="24">
        <f t="shared" si="2"/>
      </c>
    </row>
    <row customHeight="true" ht="18" r="75">
      <c r="A75" s="17">
        <f t="shared" si="0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5">
        <v>0</v>
      </c>
      <c r="AA75" s="21">
        <f t="shared" si="1"/>
      </c>
      <c r="AB75" s="22">
        <v>0</v>
      </c>
      <c r="AC75" s="23">
        <f>MIN(3, SUMPRODUCT((MOD('Streak'!C75:Z75,5)=0)*(MOD('Streak'!C75:Z75,10)&lt;&gt;0)*('Streak'!C75:Z75&gt;0))) * 5</f>
      </c>
      <c r="AD75" s="23">
        <f>MIN(2, SUMPRODUCT((MOD('Streak'!C75:Z75,10)=0)*('Streak'!C75:Z75&gt;0))) * 20</f>
      </c>
      <c r="AE75" s="24">
        <f t="shared" si="2"/>
      </c>
    </row>
    <row customHeight="true" ht="18" r="76">
      <c r="A76" s="17">
        <f t="shared" si="0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5">
        <v>0</v>
      </c>
      <c r="AA76" s="21">
        <f t="shared" si="1"/>
      </c>
      <c r="AB76" s="22">
        <v>0</v>
      </c>
      <c r="AC76" s="23">
        <f>MIN(3, SUMPRODUCT((MOD('Streak'!C76:Z76,5)=0)*(MOD('Streak'!C76:Z76,10)&lt;&gt;0)*('Streak'!C76:Z76&gt;0))) * 5</f>
      </c>
      <c r="AD76" s="23">
        <f>MIN(2, SUMPRODUCT((MOD('Streak'!C76:Z76,10)=0)*('Streak'!C76:Z76&gt;0))) * 20</f>
      </c>
      <c r="AE76" s="24">
        <f t="shared" si="2"/>
      </c>
    </row>
    <row customHeight="true" ht="18" r="77">
      <c r="A77" s="17">
        <f t="shared" si="0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5">
        <v>0</v>
      </c>
      <c r="AA77" s="21">
        <f t="shared" si="1"/>
      </c>
      <c r="AB77" s="22">
        <v>0</v>
      </c>
      <c r="AC77" s="23">
        <f>MIN(3, SUMPRODUCT((MOD('Streak'!C77:Z77,5)=0)*(MOD('Streak'!C77:Z77,10)&lt;&gt;0)*('Streak'!C77:Z77&gt;0))) * 5</f>
      </c>
      <c r="AD77" s="23">
        <f>MIN(2, SUMPRODUCT((MOD('Streak'!C77:Z77,10)=0)*('Streak'!C77:Z77&gt;0))) * 20</f>
      </c>
      <c r="AE77" s="24">
        <f t="shared" si="2"/>
      </c>
    </row>
    <row customHeight="true" ht="18" r="78">
      <c r="A78" s="17">
        <f t="shared" si="0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5">
        <v>0</v>
      </c>
      <c r="AA78" s="21">
        <f t="shared" si="1"/>
      </c>
      <c r="AB78" s="22">
        <v>0</v>
      </c>
      <c r="AC78" s="23">
        <f>MIN(3, SUMPRODUCT((MOD('Streak'!C78:Z78,5)=0)*(MOD('Streak'!C78:Z78,10)&lt;&gt;0)*('Streak'!C78:Z78&gt;0))) * 5</f>
      </c>
      <c r="AD78" s="23">
        <f>MIN(2, SUMPRODUCT((MOD('Streak'!C78:Z78,10)=0)*('Streak'!C78:Z78&gt;0))) * 20</f>
      </c>
      <c r="AE78" s="24">
        <f t="shared" si="2"/>
      </c>
    </row>
    <row customHeight="true" ht="18" r="79">
      <c r="A79" s="17">
        <f t="shared" si="0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5">
        <v>0</v>
      </c>
      <c r="AA79" s="21">
        <f t="shared" si="1"/>
      </c>
      <c r="AB79" s="22">
        <v>0</v>
      </c>
      <c r="AC79" s="23">
        <f>MIN(3, SUMPRODUCT((MOD('Streak'!C79:Z79,5)=0)*(MOD('Streak'!C79:Z79,10)&lt;&gt;0)*('Streak'!C79:Z79&gt;0))) * 5</f>
      </c>
      <c r="AD79" s="23">
        <f>MIN(2, SUMPRODUCT((MOD('Streak'!C79:Z79,10)=0)*('Streak'!C79:Z79&gt;0))) * 20</f>
      </c>
      <c r="AE79" s="24">
        <f t="shared" si="2"/>
      </c>
    </row>
    <row customHeight="true" ht="18" r="80">
      <c r="A80" s="17">
        <f t="shared" si="0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5">
        <v>0</v>
      </c>
      <c r="AA80" s="21">
        <f t="shared" si="1"/>
      </c>
      <c r="AB80" s="22">
        <v>0</v>
      </c>
      <c r="AC80" s="23">
        <f>MIN(3, SUMPRODUCT((MOD('Streak'!C80:Z80,5)=0)*(MOD('Streak'!C80:Z80,10)&lt;&gt;0)*('Streak'!C80:Z80&gt;0))) * 5</f>
      </c>
      <c r="AD80" s="23">
        <f>MIN(2, SUMPRODUCT((MOD('Streak'!C80:Z80,10)=0)*('Streak'!C80:Z80&gt;0))) * 20</f>
      </c>
      <c r="AE80" s="24">
        <f t="shared" si="2"/>
      </c>
    </row>
    <row customHeight="true" ht="18" r="81">
      <c r="A81" s="17">
        <f t="shared" si="0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5">
        <v>0</v>
      </c>
      <c r="AA81" s="21">
        <f t="shared" si="1"/>
      </c>
      <c r="AB81" s="22">
        <v>0</v>
      </c>
      <c r="AC81" s="23">
        <f>MIN(3, SUMPRODUCT((MOD('Streak'!C81:Z81,5)=0)*(MOD('Streak'!C81:Z81,10)&lt;&gt;0)*('Streak'!C81:Z81&gt;0))) * 5</f>
      </c>
      <c r="AD81" s="23">
        <f>MIN(2, SUMPRODUCT((MOD('Streak'!C81:Z81,10)=0)*('Streak'!C81:Z81&gt;0))) * 20</f>
      </c>
      <c r="AE81" s="24">
        <f t="shared" si="2"/>
      </c>
    </row>
    <row customHeight="true" ht="18" r="82">
      <c r="A82" s="17">
        <f t="shared" si="0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5">
        <v>0</v>
      </c>
      <c r="AA82" s="21">
        <f t="shared" si="1"/>
      </c>
      <c r="AB82" s="22">
        <v>0</v>
      </c>
      <c r="AC82" s="23">
        <f>MIN(3, SUMPRODUCT((MOD('Streak'!C82:Z82,5)=0)*(MOD('Streak'!C82:Z82,10)&lt;&gt;0)*('Streak'!C82:Z82&gt;0))) * 5</f>
      </c>
      <c r="AD82" s="23">
        <f>MIN(2, SUMPRODUCT((MOD('Streak'!C82:Z82,10)=0)*('Streak'!C82:Z82&gt;0))) * 20</f>
      </c>
      <c r="AE82" s="24">
        <f t="shared" si="2"/>
      </c>
    </row>
    <row customHeight="true" ht="18" r="83">
      <c r="A83" s="17">
        <f t="shared" si="0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5">
        <v>0</v>
      </c>
      <c r="AA83" s="21">
        <f t="shared" si="1"/>
      </c>
      <c r="AB83" s="22">
        <v>0</v>
      </c>
      <c r="AC83" s="23">
        <f>MIN(3, SUMPRODUCT((MOD('Streak'!C83:Z83,5)=0)*(MOD('Streak'!C83:Z83,10)&lt;&gt;0)*('Streak'!C83:Z83&gt;0))) * 5</f>
      </c>
      <c r="AD83" s="23">
        <f>MIN(2, SUMPRODUCT((MOD('Streak'!C83:Z83,10)=0)*('Streak'!C83:Z83&gt;0))) * 20</f>
      </c>
      <c r="AE83" s="24">
        <f t="shared" si="2"/>
      </c>
    </row>
    <row customHeight="true" ht="18" r="84">
      <c r="A84" s="17">
        <f t="shared" si="0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5">
        <v>0</v>
      </c>
      <c r="AA84" s="21">
        <f t="shared" si="1"/>
      </c>
      <c r="AB84" s="22">
        <v>0</v>
      </c>
      <c r="AC84" s="23">
        <f>MIN(3, SUMPRODUCT((MOD('Streak'!C84:Z84,5)=0)*(MOD('Streak'!C84:Z84,10)&lt;&gt;0)*('Streak'!C84:Z84&gt;0))) * 5</f>
      </c>
      <c r="AD84" s="23">
        <f>MIN(2, SUMPRODUCT((MOD('Streak'!C84:Z84,10)=0)*('Streak'!C84:Z84&gt;0))) * 20</f>
      </c>
      <c r="AE84" s="24">
        <f t="shared" si="2"/>
      </c>
    </row>
    <row customHeight="true" ht="18" r="85">
      <c r="A85" s="17">
        <f t="shared" si="0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5">
        <v>0</v>
      </c>
      <c r="AA85" s="21">
        <f t="shared" si="1"/>
      </c>
      <c r="AB85" s="22">
        <v>0</v>
      </c>
      <c r="AC85" s="23">
        <f>MIN(3, SUMPRODUCT((MOD('Streak'!C85:Z85,5)=0)*(MOD('Streak'!C85:Z85,10)&lt;&gt;0)*('Streak'!C85:Z85&gt;0))) * 5</f>
      </c>
      <c r="AD85" s="23">
        <f>MIN(2, SUMPRODUCT((MOD('Streak'!C85:Z85,10)=0)*('Streak'!C85:Z85&gt;0))) * 20</f>
      </c>
      <c r="AE85" s="24">
        <f t="shared" si="2"/>
      </c>
    </row>
    <row customHeight="true" ht="18" r="86">
      <c r="A86" s="17">
        <f t="shared" si="0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5">
        <v>0</v>
      </c>
      <c r="AA86" s="21">
        <f t="shared" si="1"/>
      </c>
      <c r="AB86" s="22">
        <v>0</v>
      </c>
      <c r="AC86" s="23">
        <f>MIN(3, SUMPRODUCT((MOD('Streak'!C86:Z86,5)=0)*(MOD('Streak'!C86:Z86,10)&lt;&gt;0)*('Streak'!C86:Z86&gt;0))) * 5</f>
      </c>
      <c r="AD86" s="23">
        <f>MIN(2, SUMPRODUCT((MOD('Streak'!C86:Z86,10)=0)*('Streak'!C86:Z86&gt;0))) * 20</f>
      </c>
      <c r="AE86" s="24">
        <f t="shared" si="2"/>
      </c>
    </row>
    <row customHeight="true" ht="18" r="87">
      <c r="A87" s="17">
        <f t="shared" si="0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5">
        <v>0</v>
      </c>
      <c r="AA87" s="21">
        <f t="shared" si="1"/>
      </c>
      <c r="AB87" s="22">
        <v>0</v>
      </c>
      <c r="AC87" s="23">
        <f>MIN(3, SUMPRODUCT((MOD('Streak'!C87:Z87,5)=0)*(MOD('Streak'!C87:Z87,10)&lt;&gt;0)*('Streak'!C87:Z87&gt;0))) * 5</f>
      </c>
      <c r="AD87" s="23">
        <f>MIN(2, SUMPRODUCT((MOD('Streak'!C87:Z87,10)=0)*('Streak'!C87:Z87&gt;0))) * 20</f>
      </c>
      <c r="AE87" s="24">
        <f t="shared" si="2"/>
      </c>
    </row>
    <row customHeight="true" ht="18" r="88">
      <c r="A88" s="17">
        <f t="shared" si="0"/>
      </c>
      <c r="B88" s="27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1</v>
      </c>
      <c r="Y88" s="19">
        <v>1</v>
      </c>
      <c r="Z88" s="25">
        <v>0</v>
      </c>
      <c r="AA88" s="21">
        <f t="shared" si="1"/>
      </c>
      <c r="AB88" s="22">
        <v>0</v>
      </c>
      <c r="AC88" s="23">
        <f>MIN(3, SUMPRODUCT((MOD('Streak'!C88:Z88,5)=0)*(MOD('Streak'!C88:Z88,10)&lt;&gt;0)*('Streak'!C88:Z88&gt;0))) * 5</f>
      </c>
      <c r="AD88" s="23">
        <f>MIN(2, SUMPRODUCT((MOD('Streak'!C88:Z88,10)=0)*('Streak'!C88:Z88&gt;0))) * 20</f>
      </c>
      <c r="AE88" s="24">
        <f t="shared" si="2"/>
      </c>
    </row>
    <row customHeight="true" ht="18" r="89">
      <c r="A89" s="17">
        <f t="shared" si="0"/>
      </c>
      <c r="B89" s="27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5">
        <v>0</v>
      </c>
      <c r="AA89" s="21">
        <f t="shared" si="1"/>
      </c>
      <c r="AB89" s="22">
        <v>0</v>
      </c>
      <c r="AC89" s="23">
        <f>MIN(3, SUMPRODUCT((MOD('Streak'!C89:Z89,5)=0)*(MOD('Streak'!C89:Z89,10)&lt;&gt;0)*('Streak'!C89:Z89&gt;0))) * 5</f>
      </c>
      <c r="AD89" s="23">
        <f>MIN(2, SUMPRODUCT((MOD('Streak'!C89:Z89,10)=0)*('Streak'!C89:Z89&gt;0))) * 20</f>
      </c>
      <c r="AE89" s="24">
        <f t="shared" si="2"/>
      </c>
    </row>
    <row customHeight="true" ht="18" r="90">
      <c r="A90" s="17">
        <f t="shared" si="0"/>
      </c>
      <c r="B90" s="27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5">
        <v>0</v>
      </c>
      <c r="AA90" s="21">
        <f t="shared" si="1"/>
      </c>
      <c r="AB90" s="22">
        <v>0</v>
      </c>
      <c r="AC90" s="23">
        <f>MIN(3, SUMPRODUCT((MOD('Streak'!C90:Z90,5)=0)*(MOD('Streak'!C90:Z90,10)&lt;&gt;0)*('Streak'!C90:Z90&gt;0))) * 5</f>
      </c>
      <c r="AD90" s="23">
        <f>MIN(2, SUMPRODUCT((MOD('Streak'!C90:Z90,10)=0)*('Streak'!C90:Z90&gt;0))) * 20</f>
      </c>
      <c r="AE90" s="24">
        <f t="shared" si="2"/>
      </c>
    </row>
    <row customHeight="true" ht="18" r="91">
      <c r="A91" s="17">
        <f t="shared" si="0"/>
      </c>
      <c r="B91" s="27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5">
        <v>0</v>
      </c>
      <c r="AA91" s="21">
        <f t="shared" si="1"/>
      </c>
      <c r="AB91" s="22">
        <v>0</v>
      </c>
      <c r="AC91" s="23">
        <f>MIN(3, SUMPRODUCT((MOD('Streak'!C91:Z91,5)=0)*(MOD('Streak'!C91:Z91,10)&lt;&gt;0)*('Streak'!C91:Z91&gt;0))) * 5</f>
      </c>
      <c r="AD91" s="23">
        <f>MIN(2, SUMPRODUCT((MOD('Streak'!C91:Z91,10)=0)*('Streak'!C91:Z91&gt;0))) * 20</f>
      </c>
      <c r="AE91" s="24">
        <f t="shared" si="2"/>
      </c>
    </row>
    <row customHeight="true" ht="18" r="92">
      <c r="A92" s="17">
        <f t="shared" si="0"/>
      </c>
      <c r="B92" s="27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5">
        <v>0</v>
      </c>
      <c r="AA92" s="21">
        <f t="shared" si="1"/>
      </c>
      <c r="AB92" s="22">
        <v>0</v>
      </c>
      <c r="AC92" s="23">
        <f>MIN(3, SUMPRODUCT((MOD('Streak'!C92:Z92,5)=0)*(MOD('Streak'!C92:Z92,10)&lt;&gt;0)*('Streak'!C92:Z92&gt;0))) * 5</f>
      </c>
      <c r="AD92" s="23">
        <f>MIN(2, SUMPRODUCT((MOD('Streak'!C92:Z92,10)=0)*('Streak'!C92:Z92&gt;0))) * 20</f>
      </c>
      <c r="AE92" s="24">
        <f t="shared" si="2"/>
      </c>
    </row>
    <row customHeight="true" ht="18" r="93">
      <c r="A93" s="17">
        <f t="shared" si="0"/>
      </c>
      <c r="B93" s="27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5">
        <v>0</v>
      </c>
      <c r="AA93" s="21">
        <f t="shared" si="1"/>
      </c>
      <c r="AB93" s="22">
        <v>0</v>
      </c>
      <c r="AC93" s="23">
        <f>MIN(3, SUMPRODUCT((MOD('Streak'!C93:Z93,5)=0)*(MOD('Streak'!C93:Z93,10)&lt;&gt;0)*('Streak'!C93:Z93&gt;0))) * 5</f>
      </c>
      <c r="AD93" s="23">
        <f>MIN(2, SUMPRODUCT((MOD('Streak'!C93:Z93,10)=0)*('Streak'!C93:Z93&gt;0))) * 20</f>
      </c>
      <c r="AE93" s="24">
        <f t="shared" si="2"/>
      </c>
    </row>
    <row customHeight="true" ht="18" r="94">
      <c r="A94" s="17">
        <f t="shared" si="0"/>
      </c>
      <c r="B94" s="27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5">
        <v>0</v>
      </c>
      <c r="AA94" s="21">
        <f t="shared" si="1"/>
      </c>
      <c r="AB94" s="22">
        <v>0</v>
      </c>
      <c r="AC94" s="23">
        <f>MIN(3, SUMPRODUCT((MOD('Streak'!C94:Z94,5)=0)*(MOD('Streak'!C94:Z94,10)&lt;&gt;0)*('Streak'!C94:Z94&gt;0))) * 5</f>
      </c>
      <c r="AD94" s="23">
        <f>MIN(2, SUMPRODUCT((MOD('Streak'!C94:Z94,10)=0)*('Streak'!C94:Z94&gt;0))) * 20</f>
      </c>
      <c r="AE94" s="24">
        <f t="shared" si="2"/>
      </c>
    </row>
    <row customHeight="true" ht="18" r="95">
      <c r="A95" s="17">
        <f t="shared" si="0"/>
      </c>
      <c r="B95" s="27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5">
        <v>0</v>
      </c>
      <c r="AA95" s="21">
        <f t="shared" si="1"/>
      </c>
      <c r="AB95" s="22">
        <v>0</v>
      </c>
      <c r="AC95" s="23">
        <f>MIN(3, SUMPRODUCT((MOD('Streak'!C95:Z95,5)=0)*(MOD('Streak'!C95:Z95,10)&lt;&gt;0)*('Streak'!C95:Z95&gt;0))) * 5</f>
      </c>
      <c r="AD95" s="23">
        <f>MIN(2, SUMPRODUCT((MOD('Streak'!C95:Z95,10)=0)*('Streak'!C95:Z95&gt;0))) * 20</f>
      </c>
      <c r="AE95" s="24">
        <f t="shared" si="2"/>
      </c>
    </row>
    <row customHeight="true" ht="18" r="96">
      <c r="A96" s="17">
        <f t="shared" si="0"/>
      </c>
      <c r="B96" s="27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5">
        <v>0</v>
      </c>
      <c r="AA96" s="21">
        <f t="shared" si="1"/>
      </c>
      <c r="AB96" s="22">
        <v>0</v>
      </c>
      <c r="AC96" s="23">
        <f>MIN(3, SUMPRODUCT((MOD('Streak'!C96:Z96,5)=0)*(MOD('Streak'!C96:Z96,10)&lt;&gt;0)*('Streak'!C96:Z96&gt;0))) * 5</f>
      </c>
      <c r="AD96" s="23">
        <f>MIN(2, SUMPRODUCT((MOD('Streak'!C96:Z96,10)=0)*('Streak'!C96:Z96&gt;0))) * 20</f>
      </c>
      <c r="AE96" s="24">
        <f t="shared" si="2"/>
      </c>
    </row>
    <row customHeight="true" ht="18" r="97">
      <c r="A97" s="17">
        <f t="shared" si="0"/>
      </c>
      <c r="B97" s="27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5">
        <v>0</v>
      </c>
      <c r="AA97" s="21">
        <f t="shared" si="1"/>
      </c>
      <c r="AB97" s="22">
        <v>0</v>
      </c>
      <c r="AC97" s="23">
        <f>MIN(3, SUMPRODUCT((MOD('Streak'!C97:Z97,5)=0)*(MOD('Streak'!C97:Z97,10)&lt;&gt;0)*('Streak'!C97:Z97&gt;0))) * 5</f>
      </c>
      <c r="AD97" s="23">
        <f>MIN(2, SUMPRODUCT((MOD('Streak'!C97:Z97,10)=0)*('Streak'!C97:Z97&gt;0))) * 20</f>
      </c>
      <c r="AE97" s="24">
        <f t="shared" si="2"/>
      </c>
    </row>
    <row customHeight="true" ht="18" r="98">
      <c r="A98" s="17">
        <f t="shared" si="0"/>
      </c>
      <c r="B98" s="27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1</v>
      </c>
      <c r="X98" s="19">
        <v>0</v>
      </c>
      <c r="Y98" s="19">
        <v>0</v>
      </c>
      <c r="Z98" s="25">
        <v>0</v>
      </c>
      <c r="AA98" s="21">
        <f t="shared" si="1"/>
      </c>
      <c r="AB98" s="22">
        <v>0</v>
      </c>
      <c r="AC98" s="23">
        <f>MIN(3, SUMPRODUCT((MOD('Streak'!C98:Z98,5)=0)*(MOD('Streak'!C98:Z98,10)&lt;&gt;0)*('Streak'!C98:Z98&gt;0))) * 5</f>
      </c>
      <c r="AD98" s="23">
        <f>MIN(2, SUMPRODUCT((MOD('Streak'!C98:Z98,10)=0)*('Streak'!C98:Z98&gt;0))) * 20</f>
      </c>
      <c r="AE98" s="24">
        <f t="shared" si="2"/>
      </c>
    </row>
    <row customHeight="true" ht="18" r="99">
      <c r="A99" s="17">
        <f t="shared" si="0"/>
      </c>
      <c r="B99" s="27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5">
        <v>0</v>
      </c>
      <c r="AA99" s="21">
        <f t="shared" si="1"/>
      </c>
      <c r="AB99" s="22">
        <v>0</v>
      </c>
      <c r="AC99" s="23">
        <f>MIN(3, SUMPRODUCT((MOD('Streak'!C99:Z99,5)=0)*(MOD('Streak'!C99:Z99,10)&lt;&gt;0)*('Streak'!C99:Z99&gt;0))) * 5</f>
      </c>
      <c r="AD99" s="23">
        <f>MIN(2, SUMPRODUCT((MOD('Streak'!C99:Z99,10)=0)*('Streak'!C99:Z99&gt;0))) * 20</f>
      </c>
      <c r="AE99" s="24">
        <f t="shared" si="2"/>
      </c>
    </row>
    <row customHeight="true" ht="18" r="100">
      <c r="A100" s="17">
        <f t="shared" si="0"/>
      </c>
      <c r="B100" s="27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5">
        <v>0</v>
      </c>
      <c r="AA100" s="21">
        <f t="shared" si="1"/>
      </c>
      <c r="AB100" s="22">
        <v>0</v>
      </c>
      <c r="AC100" s="23">
        <f>MIN(3, SUMPRODUCT((MOD('Streak'!C100:Z100,5)=0)*(MOD('Streak'!C100:Z100,10)&lt;&gt;0)*('Streak'!C100:Z100&gt;0))) * 5</f>
      </c>
      <c r="AD100" s="23">
        <f>MIN(2, SUMPRODUCT((MOD('Streak'!C100:Z100,10)=0)*('Streak'!C100:Z100&gt;0))) * 20</f>
      </c>
      <c r="AE100" s="24">
        <f t="shared" si="2"/>
      </c>
    </row>
    <row customHeight="true" ht="18" r="101">
      <c r="A101" s="17">
        <f t="shared" si="0"/>
      </c>
      <c r="B101" s="27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1</v>
      </c>
      <c r="X101" s="19">
        <v>0</v>
      </c>
      <c r="Y101" s="19">
        <v>0</v>
      </c>
      <c r="Z101" s="25">
        <v>0</v>
      </c>
      <c r="AA101" s="21">
        <f t="shared" si="1"/>
      </c>
      <c r="AB101" s="22">
        <v>0</v>
      </c>
      <c r="AC101" s="23">
        <f>MIN(3, SUMPRODUCT((MOD('Streak'!C101:Z101,5)=0)*(MOD('Streak'!C101:Z101,10)&lt;&gt;0)*('Streak'!C101:Z101&gt;0))) * 5</f>
      </c>
      <c r="AD101" s="23">
        <f>MIN(2, SUMPRODUCT((MOD('Streak'!C101:Z101,10)=0)*('Streak'!C101:Z101&gt;0))) * 20</f>
      </c>
      <c r="AE101" s="24">
        <f t="shared" si="2"/>
      </c>
    </row>
    <row customHeight="true" ht="18" r="102">
      <c r="A102" s="17">
        <f t="shared" si="0"/>
      </c>
      <c r="B102" s="27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5">
        <v>0</v>
      </c>
      <c r="AA102" s="21">
        <f t="shared" si="1"/>
      </c>
      <c r="AB102" s="22">
        <v>0</v>
      </c>
      <c r="AC102" s="23">
        <f>MIN(3, SUMPRODUCT((MOD('Streak'!C102:Z102,5)=0)*(MOD('Streak'!C102:Z102,10)&lt;&gt;0)*('Streak'!C102:Z102&gt;0))) * 5</f>
      </c>
      <c r="AD102" s="23">
        <f>MIN(2, SUMPRODUCT((MOD('Streak'!C102:Z102,10)=0)*('Streak'!C102:Z102&gt;0))) * 20</f>
      </c>
      <c r="AE102" s="24">
        <f t="shared" si="2"/>
      </c>
    </row>
    <row customHeight="true" ht="18" r="103">
      <c r="A103" s="17">
        <f t="shared" si="0"/>
      </c>
      <c r="B103" s="27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5">
        <v>0</v>
      </c>
      <c r="AA103" s="21">
        <f t="shared" si="1"/>
      </c>
      <c r="AB103" s="22">
        <v>0</v>
      </c>
      <c r="AC103" s="23">
        <f>MIN(3, SUMPRODUCT((MOD('Streak'!C103:Z103,5)=0)*(MOD('Streak'!C103:Z103,10)&lt;&gt;0)*('Streak'!C103:Z103&gt;0))) * 5</f>
      </c>
      <c r="AD103" s="23">
        <f>MIN(2, SUMPRODUCT((MOD('Streak'!C103:Z103,10)=0)*('Streak'!C103:Z103&gt;0))) * 20</f>
      </c>
      <c r="AE103" s="24">
        <f t="shared" si="2"/>
      </c>
    </row>
    <row customHeight="true" ht="18" r="104">
      <c r="A104" s="17">
        <f t="shared" si="0"/>
      </c>
      <c r="B104" s="27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5">
        <v>0</v>
      </c>
      <c r="AA104" s="21">
        <f t="shared" si="1"/>
      </c>
      <c r="AB104" s="22">
        <v>0</v>
      </c>
      <c r="AC104" s="23">
        <f>MIN(3, SUMPRODUCT((MOD('Streak'!C104:Z104,5)=0)*(MOD('Streak'!C104:Z104,10)&lt;&gt;0)*('Streak'!C104:Z104&gt;0))) * 5</f>
      </c>
      <c r="AD104" s="23">
        <f>MIN(2, SUMPRODUCT((MOD('Streak'!C104:Z104,10)=0)*('Streak'!C104:Z104&gt;0))) * 20</f>
      </c>
      <c r="AE104" s="24">
        <f t="shared" si="2"/>
      </c>
    </row>
    <row customHeight="true" ht="18" r="105">
      <c r="A105" s="17">
        <f t="shared" si="0"/>
      </c>
      <c r="B105" s="27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5">
        <v>0</v>
      </c>
      <c r="AA105" s="21">
        <f t="shared" si="1"/>
      </c>
      <c r="AB105" s="22">
        <v>0</v>
      </c>
      <c r="AC105" s="23">
        <f>MIN(3, SUMPRODUCT((MOD('Streak'!C105:Z105,5)=0)*(MOD('Streak'!C105:Z105,10)&lt;&gt;0)*('Streak'!C105:Z105&gt;0))) * 5</f>
      </c>
      <c r="AD105" s="23">
        <f>MIN(2, SUMPRODUCT((MOD('Streak'!C105:Z105,10)=0)*('Streak'!C105:Z105&gt;0))) * 20</f>
      </c>
      <c r="AE105" s="24">
        <f t="shared" si="2"/>
      </c>
    </row>
    <row customHeight="true" ht="18" r="106">
      <c r="A106" s="17">
        <f t="shared" si="0"/>
      </c>
      <c r="B106" s="27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5">
        <v>0</v>
      </c>
      <c r="AA106" s="21">
        <f t="shared" si="1"/>
      </c>
      <c r="AB106" s="22">
        <v>0</v>
      </c>
      <c r="AC106" s="23">
        <f>MIN(3, SUMPRODUCT((MOD('Streak'!C106:Z106,5)=0)*(MOD('Streak'!C106:Z106,10)&lt;&gt;0)*('Streak'!C106:Z106&gt;0))) * 5</f>
      </c>
      <c r="AD106" s="23">
        <f>MIN(2, SUMPRODUCT((MOD('Streak'!C106:Z106,10)=0)*('Streak'!C106:Z106&gt;0))) * 20</f>
      </c>
      <c r="AE106" s="24">
        <f t="shared" si="2"/>
      </c>
    </row>
    <row customHeight="true" ht="18" r="107">
      <c r="A107" s="17">
        <f t="shared" si="0"/>
      </c>
      <c r="B107" s="27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5">
        <v>0</v>
      </c>
      <c r="AA107" s="21">
        <f t="shared" si="1"/>
      </c>
      <c r="AB107" s="22">
        <v>0</v>
      </c>
      <c r="AC107" s="23">
        <f>MIN(3, SUMPRODUCT((MOD('Streak'!C107:Z107,5)=0)*(MOD('Streak'!C107:Z107,10)&lt;&gt;0)*('Streak'!C107:Z107&gt;0))) * 5</f>
      </c>
      <c r="AD107" s="23">
        <f>MIN(2, SUMPRODUCT((MOD('Streak'!C107:Z107,10)=0)*('Streak'!C107:Z107&gt;0))) * 20</f>
      </c>
      <c r="AE107" s="24">
        <f t="shared" si="2"/>
      </c>
    </row>
    <row customHeight="true" ht="18" r="108">
      <c r="A108" s="17">
        <f t="shared" si="0"/>
      </c>
      <c r="B108" s="27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5">
        <v>0</v>
      </c>
      <c r="AA108" s="21">
        <f t="shared" si="1"/>
      </c>
      <c r="AB108" s="22">
        <v>0</v>
      </c>
      <c r="AC108" s="23">
        <f>MIN(3, SUMPRODUCT((MOD('Streak'!C108:Z108,5)=0)*(MOD('Streak'!C108:Z108,10)&lt;&gt;0)*('Streak'!C108:Z108&gt;0))) * 5</f>
      </c>
      <c r="AD108" s="23">
        <f>MIN(2, SUMPRODUCT((MOD('Streak'!C108:Z108,10)=0)*('Streak'!C108:Z108&gt;0))) * 20</f>
      </c>
      <c r="AE108" s="24">
        <f t="shared" si="2"/>
      </c>
    </row>
    <row customHeight="true" ht="18" r="109">
      <c r="A109" s="17">
        <f t="shared" si="0"/>
      </c>
      <c r="B109" s="27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25">
        <v>0</v>
      </c>
      <c r="AA109" s="21">
        <f t="shared" si="1"/>
      </c>
      <c r="AB109" s="22">
        <v>0</v>
      </c>
      <c r="AC109" s="23">
        <f>MIN(3, SUMPRODUCT((MOD('Streak'!C109:Z109,5)=0)*(MOD('Streak'!C109:Z109,10)&lt;&gt;0)*('Streak'!C109:Z109&gt;0))) * 5</f>
      </c>
      <c r="AD109" s="23">
        <f>MIN(2, SUMPRODUCT((MOD('Streak'!C109:Z109,10)=0)*('Streak'!C109:Z109&gt;0))) * 20</f>
      </c>
      <c r="AE109" s="24">
        <f t="shared" si="2"/>
      </c>
    </row>
    <row customHeight="true" ht="18" r="110">
      <c r="A110" s="17">
        <f t="shared" si="0"/>
      </c>
      <c r="B110" s="27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5">
        <v>0</v>
      </c>
      <c r="AA110" s="21">
        <f t="shared" si="1"/>
      </c>
      <c r="AB110" s="22">
        <v>0</v>
      </c>
      <c r="AC110" s="23">
        <f>MIN(3, SUMPRODUCT((MOD('Streak'!C110:Z110,5)=0)*(MOD('Streak'!C110:Z110,10)&lt;&gt;0)*('Streak'!C110:Z110&gt;0))) * 5</f>
      </c>
      <c r="AD110" s="23">
        <f>MIN(2, SUMPRODUCT((MOD('Streak'!C110:Z110,10)=0)*('Streak'!C110:Z110&gt;0))) * 20</f>
      </c>
      <c r="AE110" s="24">
        <f t="shared" si="2"/>
      </c>
    </row>
    <row customHeight="true" ht="18" r="111">
      <c r="A111" s="17">
        <f t="shared" si="0"/>
      </c>
      <c r="B111" s="27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1</v>
      </c>
      <c r="X111" s="19">
        <v>0</v>
      </c>
      <c r="Y111" s="19">
        <v>0</v>
      </c>
      <c r="Z111" s="25">
        <v>0</v>
      </c>
      <c r="AA111" s="21">
        <f t="shared" si="1"/>
      </c>
      <c r="AB111" s="22">
        <v>0</v>
      </c>
      <c r="AC111" s="23">
        <f>MIN(3, SUMPRODUCT((MOD('Streak'!C111:Z111,5)=0)*(MOD('Streak'!C111:Z111,10)&lt;&gt;0)*('Streak'!C111:Z111&gt;0))) * 5</f>
      </c>
      <c r="AD111" s="23">
        <f>MIN(2, SUMPRODUCT((MOD('Streak'!C111:Z111,10)=0)*('Streak'!C111:Z111&gt;0))) * 20</f>
      </c>
      <c r="AE111" s="24">
        <f t="shared" si="2"/>
      </c>
    </row>
    <row customHeight="true" ht="18" r="112">
      <c r="A112" s="17">
        <f t="shared" si="0"/>
      </c>
      <c r="B112" s="27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1</v>
      </c>
      <c r="W112" s="19">
        <v>0</v>
      </c>
      <c r="X112" s="19">
        <v>0</v>
      </c>
      <c r="Y112" s="19">
        <v>0</v>
      </c>
      <c r="Z112" s="25">
        <v>0</v>
      </c>
      <c r="AA112" s="21">
        <f t="shared" si="1"/>
      </c>
      <c r="AB112" s="22">
        <v>0</v>
      </c>
      <c r="AC112" s="23">
        <f>MIN(3, SUMPRODUCT((MOD('Streak'!C112:Z112,5)=0)*(MOD('Streak'!C112:Z112,10)&lt;&gt;0)*('Streak'!C112:Z112&gt;0))) * 5</f>
      </c>
      <c r="AD112" s="23">
        <f>MIN(2, SUMPRODUCT((MOD('Streak'!C112:Z112,10)=0)*('Streak'!C112:Z112&gt;0))) * 20</f>
      </c>
      <c r="AE112" s="24">
        <f t="shared" si="2"/>
      </c>
    </row>
    <row customHeight="true" ht="18" r="113">
      <c r="A113" s="17">
        <f t="shared" si="0"/>
      </c>
      <c r="B113" s="27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5">
        <v>0</v>
      </c>
      <c r="AA113" s="21">
        <f t="shared" si="1"/>
      </c>
      <c r="AB113" s="22">
        <v>0</v>
      </c>
      <c r="AC113" s="23">
        <f>MIN(3, SUMPRODUCT((MOD('Streak'!C113:Z113,5)=0)*(MOD('Streak'!C113:Z113,10)&lt;&gt;0)*('Streak'!C113:Z113&gt;0))) * 5</f>
      </c>
      <c r="AD113" s="23">
        <f>MIN(2, SUMPRODUCT((MOD('Streak'!C113:Z113,10)=0)*('Streak'!C113:Z113&gt;0))) * 20</f>
      </c>
      <c r="AE113" s="24">
        <f t="shared" si="2"/>
      </c>
    </row>
    <row customHeight="true" ht="18" r="114">
      <c r="A114" s="17">
        <f t="shared" si="0"/>
      </c>
      <c r="B114" s="27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5">
        <v>0</v>
      </c>
      <c r="AA114" s="21">
        <f t="shared" si="1"/>
      </c>
      <c r="AB114" s="22">
        <v>0</v>
      </c>
      <c r="AC114" s="23">
        <f>MIN(3, SUMPRODUCT((MOD('Streak'!C114:Z114,5)=0)*(MOD('Streak'!C114:Z114,10)&lt;&gt;0)*('Streak'!C114:Z114&gt;0))) * 5</f>
      </c>
      <c r="AD114" s="23">
        <f>MIN(2, SUMPRODUCT((MOD('Streak'!C114:Z114,10)=0)*('Streak'!C114:Z114&gt;0))) * 20</f>
      </c>
      <c r="AE114" s="24">
        <f t="shared" si="2"/>
      </c>
    </row>
    <row customHeight="true" ht="18" r="115">
      <c r="A115" s="17">
        <f t="shared" si="0"/>
      </c>
      <c r="B115" s="27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5">
        <v>0</v>
      </c>
      <c r="AA115" s="21">
        <f t="shared" si="1"/>
      </c>
      <c r="AB115" s="22">
        <v>0</v>
      </c>
      <c r="AC115" s="23">
        <f>MIN(3, SUMPRODUCT((MOD('Streak'!C115:Z115,5)=0)*(MOD('Streak'!C115:Z115,10)&lt;&gt;0)*('Streak'!C115:Z115&gt;0))) * 5</f>
      </c>
      <c r="AD115" s="23">
        <f>MIN(2, SUMPRODUCT((MOD('Streak'!C115:Z115,10)=0)*('Streak'!C115:Z115&gt;0))) * 20</f>
      </c>
      <c r="AE115" s="24">
        <f t="shared" si="2"/>
      </c>
    </row>
    <row customHeight="true" ht="18" r="116">
      <c r="A116" s="17">
        <f t="shared" si="0"/>
      </c>
      <c r="B116" s="27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5">
        <v>0</v>
      </c>
      <c r="AA116" s="21">
        <f t="shared" si="1"/>
      </c>
      <c r="AB116" s="22">
        <v>0</v>
      </c>
      <c r="AC116" s="23">
        <f>MIN(3, SUMPRODUCT((MOD('Streak'!C116:Z116,5)=0)*(MOD('Streak'!C116:Z116,10)&lt;&gt;0)*('Streak'!C116:Z116&gt;0))) * 5</f>
      </c>
      <c r="AD116" s="23">
        <f>MIN(2, SUMPRODUCT((MOD('Streak'!C116:Z116,10)=0)*('Streak'!C116:Z116&gt;0))) * 20</f>
      </c>
      <c r="AE116" s="24">
        <f t="shared" si="2"/>
      </c>
    </row>
    <row customHeight="true" ht="18" r="117">
      <c r="A117" s="17">
        <f t="shared" si="0"/>
      </c>
      <c r="B117" s="27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5">
        <v>0</v>
      </c>
      <c r="AA117" s="21">
        <f t="shared" si="1"/>
      </c>
      <c r="AB117" s="22">
        <v>0</v>
      </c>
      <c r="AC117" s="23">
        <f>MIN(3, SUMPRODUCT((MOD('Streak'!C117:Z117,5)=0)*(MOD('Streak'!C117:Z117,10)&lt;&gt;0)*('Streak'!C117:Z117&gt;0))) * 5</f>
      </c>
      <c r="AD117" s="23">
        <f>MIN(2, SUMPRODUCT((MOD('Streak'!C117:Z117,10)=0)*('Streak'!C117:Z117&gt;0))) * 20</f>
      </c>
      <c r="AE117" s="24">
        <f t="shared" si="2"/>
      </c>
    </row>
    <row customHeight="true" ht="18" r="118">
      <c r="A118" s="17">
        <f t="shared" si="0"/>
      </c>
      <c r="B118" s="27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1</v>
      </c>
      <c r="Y118" s="19">
        <v>0</v>
      </c>
      <c r="Z118" s="25">
        <v>0</v>
      </c>
      <c r="AA118" s="21">
        <f t="shared" si="1"/>
      </c>
      <c r="AB118" s="22">
        <v>0</v>
      </c>
      <c r="AC118" s="23">
        <f>MIN(3, SUMPRODUCT((MOD('Streak'!C118:Z118,5)=0)*(MOD('Streak'!C118:Z118,10)&lt;&gt;0)*('Streak'!C118:Z118&gt;0))) * 5</f>
      </c>
      <c r="AD118" s="23">
        <f>MIN(2, SUMPRODUCT((MOD('Streak'!C118:Z118,10)=0)*('Streak'!C118:Z118&gt;0))) * 20</f>
      </c>
      <c r="AE118" s="24">
        <f t="shared" si="2"/>
      </c>
    </row>
    <row customHeight="true" ht="18" r="119">
      <c r="A119" s="17">
        <f t="shared" si="0"/>
      </c>
      <c r="B119" s="27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5">
        <v>0</v>
      </c>
      <c r="AA119" s="21">
        <f t="shared" si="1"/>
      </c>
      <c r="AB119" s="22">
        <v>0</v>
      </c>
      <c r="AC119" s="23">
        <f>MIN(3, SUMPRODUCT((MOD('Streak'!C119:Z119,5)=0)*(MOD('Streak'!C119:Z119,10)&lt;&gt;0)*('Streak'!C119:Z119&gt;0))) * 5</f>
      </c>
      <c r="AD119" s="23">
        <f>MIN(2, SUMPRODUCT((MOD('Streak'!C119:Z119,10)=0)*('Streak'!C119:Z119&gt;0))) * 20</f>
      </c>
      <c r="AE119" s="24">
        <f t="shared" si="2"/>
      </c>
    </row>
    <row customHeight="true" ht="18" r="120">
      <c r="A120" s="17">
        <f t="shared" si="0"/>
      </c>
      <c r="B120" s="27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5">
        <v>0</v>
      </c>
      <c r="AA120" s="21">
        <f t="shared" si="1"/>
      </c>
      <c r="AB120" s="22">
        <v>0</v>
      </c>
      <c r="AC120" s="23">
        <f>MIN(3, SUMPRODUCT((MOD('Streak'!C120:Z120,5)=0)*(MOD('Streak'!C120:Z120,10)&lt;&gt;0)*('Streak'!C120:Z120&gt;0))) * 5</f>
      </c>
      <c r="AD120" s="23">
        <f>MIN(2, SUMPRODUCT((MOD('Streak'!C120:Z120,10)=0)*('Streak'!C120:Z120&gt;0))) * 20</f>
      </c>
      <c r="AE120" s="24">
        <f t="shared" si="2"/>
      </c>
    </row>
    <row customHeight="true" ht="18" r="121">
      <c r="A121" s="17">
        <f t="shared" si="0"/>
      </c>
      <c r="B121" s="27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5">
        <v>0</v>
      </c>
      <c r="AA121" s="21">
        <f t="shared" si="1"/>
      </c>
      <c r="AB121" s="22">
        <v>0</v>
      </c>
      <c r="AC121" s="23">
        <f>MIN(3, SUMPRODUCT((MOD('Streak'!C121:Z121,5)=0)*(MOD('Streak'!C121:Z121,10)&lt;&gt;0)*('Streak'!C121:Z121&gt;0))) * 5</f>
      </c>
      <c r="AD121" s="23">
        <f>MIN(2, SUMPRODUCT((MOD('Streak'!C121:Z121,10)=0)*('Streak'!C121:Z121&gt;0))) * 20</f>
      </c>
      <c r="AE121" s="24">
        <f t="shared" si="2"/>
      </c>
    </row>
    <row customHeight="true" ht="18" r="122">
      <c r="A122" s="17">
        <f t="shared" si="0"/>
      </c>
      <c r="B122" s="27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5">
        <v>0</v>
      </c>
      <c r="AA122" s="21">
        <f t="shared" si="1"/>
      </c>
      <c r="AB122" s="22">
        <v>0</v>
      </c>
      <c r="AC122" s="23">
        <f>MIN(3, SUMPRODUCT((MOD('Streak'!C122:Z122,5)=0)*(MOD('Streak'!C122:Z122,10)&lt;&gt;0)*('Streak'!C122:Z122&gt;0))) * 5</f>
      </c>
      <c r="AD122" s="23">
        <f>MIN(2, SUMPRODUCT((MOD('Streak'!C122:Z122,10)=0)*('Streak'!C122:Z122&gt;0))) * 20</f>
      </c>
      <c r="AE122" s="24">
        <f t="shared" si="2"/>
      </c>
    </row>
    <row customHeight="true" ht="18" r="123">
      <c r="A123" s="17">
        <f t="shared" si="0"/>
      </c>
      <c r="B123" s="27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1</v>
      </c>
      <c r="AA123" s="21">
        <f t="shared" si="1"/>
      </c>
      <c r="AB123" s="22">
        <v>0</v>
      </c>
      <c r="AC123" s="23">
        <f>MIN(3, SUMPRODUCT((MOD('Streak'!C123:Z123,5)=0)*(MOD('Streak'!C123:Z123,10)&lt;&gt;0)*('Streak'!C123:Z123&gt;0))) * 5</f>
      </c>
      <c r="AD123" s="23">
        <f>MIN(2, SUMPRODUCT((MOD('Streak'!C123:Z123,10)=0)*('Streak'!C123:Z123&gt;0))) * 20</f>
      </c>
      <c r="AE123" s="24">
        <f t="shared" si="2"/>
      </c>
    </row>
    <row customHeight="true" ht="18" r="124">
      <c r="A124" s="17">
        <f t="shared" si="0"/>
      </c>
      <c r="B124" s="27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5">
        <v>0</v>
      </c>
      <c r="AA124" s="21">
        <f t="shared" si="1"/>
      </c>
      <c r="AB124" s="22">
        <v>0</v>
      </c>
      <c r="AC124" s="23">
        <f>MIN(3, SUMPRODUCT((MOD('Streak'!C124:Z124,5)=0)*(MOD('Streak'!C124:Z124,10)&lt;&gt;0)*('Streak'!C124:Z124&gt;0))) * 5</f>
      </c>
      <c r="AD124" s="23">
        <f>MIN(2, SUMPRODUCT((MOD('Streak'!C124:Z124,10)=0)*('Streak'!C124:Z124&gt;0))) * 20</f>
      </c>
      <c r="AE124" s="24">
        <f t="shared" si="2"/>
      </c>
    </row>
    <row customHeight="true" ht="18" r="125">
      <c r="A125" s="17">
        <f t="shared" si="0"/>
      </c>
      <c r="B125" s="27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5">
        <v>0</v>
      </c>
      <c r="AA125" s="21">
        <f t="shared" si="1"/>
      </c>
      <c r="AB125" s="22">
        <v>0</v>
      </c>
      <c r="AC125" s="23">
        <f>MIN(3, SUMPRODUCT((MOD('Streak'!C125:Z125,5)=0)*(MOD('Streak'!C125:Z125,10)&lt;&gt;0)*('Streak'!C125:Z125&gt;0))) * 5</f>
      </c>
      <c r="AD125" s="23">
        <f>MIN(2, SUMPRODUCT((MOD('Streak'!C125:Z125,10)=0)*('Streak'!C125:Z125&gt;0))) * 20</f>
      </c>
      <c r="AE125" s="24">
        <f t="shared" si="2"/>
      </c>
    </row>
    <row customHeight="true" ht="18" r="126">
      <c r="A126" s="17">
        <f t="shared" si="0"/>
      </c>
      <c r="B126" s="27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1</v>
      </c>
      <c r="Y126" s="19">
        <v>0</v>
      </c>
      <c r="Z126" s="20">
        <v>1</v>
      </c>
      <c r="AA126" s="21">
        <f t="shared" si="1"/>
      </c>
      <c r="AB126" s="22">
        <v>0</v>
      </c>
      <c r="AC126" s="23">
        <f>MIN(3, SUMPRODUCT((MOD('Streak'!C126:Z126,5)=0)*(MOD('Streak'!C126:Z126,10)&lt;&gt;0)*('Streak'!C126:Z126&gt;0))) * 5</f>
      </c>
      <c r="AD126" s="23">
        <f>MIN(2, SUMPRODUCT((MOD('Streak'!C126:Z126,10)=0)*('Streak'!C126:Z126&gt;0))) * 20</f>
      </c>
      <c r="AE126" s="24">
        <f t="shared" si="2"/>
      </c>
    </row>
    <row customHeight="true" ht="18" r="127">
      <c r="A127" s="17">
        <f t="shared" si="0"/>
      </c>
      <c r="B127" s="27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5">
        <v>0</v>
      </c>
      <c r="AA127" s="21">
        <f t="shared" si="1"/>
      </c>
      <c r="AB127" s="22">
        <v>0</v>
      </c>
      <c r="AC127" s="23">
        <f>MIN(3, SUMPRODUCT((MOD('Streak'!C127:Z127,5)=0)*(MOD('Streak'!C127:Z127,10)&lt;&gt;0)*('Streak'!C127:Z127&gt;0))) * 5</f>
      </c>
      <c r="AD127" s="23">
        <f>MIN(2, SUMPRODUCT((MOD('Streak'!C127:Z127,10)=0)*('Streak'!C127:Z127&gt;0))) * 20</f>
      </c>
      <c r="AE127" s="24">
        <f t="shared" si="2"/>
      </c>
    </row>
    <row customHeight="true" ht="18" r="128">
      <c r="A128" s="17">
        <f t="shared" si="0"/>
      </c>
      <c r="B128" s="27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5">
        <v>0</v>
      </c>
      <c r="AA128" s="21">
        <f t="shared" si="1"/>
      </c>
      <c r="AB128" s="22">
        <v>0</v>
      </c>
      <c r="AC128" s="23">
        <f>MIN(3, SUMPRODUCT((MOD('Streak'!C128:Z128,5)=0)*(MOD('Streak'!C128:Z128,10)&lt;&gt;0)*('Streak'!C128:Z128&gt;0))) * 5</f>
      </c>
      <c r="AD128" s="23">
        <f>MIN(2, SUMPRODUCT((MOD('Streak'!C128:Z128,10)=0)*('Streak'!C128:Z128&gt;0))) * 20</f>
      </c>
      <c r="AE128" s="24">
        <f t="shared" si="2"/>
      </c>
    </row>
    <row customHeight="true" ht="18" r="129">
      <c r="A129" s="17">
        <f t="shared" si="0"/>
      </c>
      <c r="B129" s="27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5">
        <v>0</v>
      </c>
      <c r="AA129" s="21">
        <f t="shared" si="1"/>
      </c>
      <c r="AB129" s="22">
        <v>0</v>
      </c>
      <c r="AC129" s="23">
        <f>MIN(3, SUMPRODUCT((MOD('Streak'!C129:Z129,5)=0)*(MOD('Streak'!C129:Z129,10)&lt;&gt;0)*('Streak'!C129:Z129&gt;0))) * 5</f>
      </c>
      <c r="AD129" s="23">
        <f>MIN(2, SUMPRODUCT((MOD('Streak'!C129:Z129,10)=0)*('Streak'!C129:Z129&gt;0))) * 20</f>
      </c>
      <c r="AE129" s="24">
        <f t="shared" si="2"/>
      </c>
    </row>
    <row customHeight="true" ht="18" r="130">
      <c r="A130" s="17">
        <f t="shared" si="0"/>
      </c>
      <c r="B130" s="27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1</v>
      </c>
      <c r="Y130" s="19">
        <v>0</v>
      </c>
      <c r="Z130" s="25">
        <v>0</v>
      </c>
      <c r="AA130" s="21">
        <f t="shared" si="1"/>
      </c>
      <c r="AB130" s="22">
        <v>0</v>
      </c>
      <c r="AC130" s="23">
        <f>MIN(3, SUMPRODUCT((MOD('Streak'!C130:Z130,5)=0)*(MOD('Streak'!C130:Z130,10)&lt;&gt;0)*('Streak'!C130:Z130&gt;0))) * 5</f>
      </c>
      <c r="AD130" s="23">
        <f>MIN(2, SUMPRODUCT((MOD('Streak'!C130:Z130,10)=0)*('Streak'!C130:Z130&gt;0))) * 20</f>
      </c>
      <c r="AE130" s="24">
        <f t="shared" si="2"/>
      </c>
    </row>
    <row customHeight="true" ht="18" r="131">
      <c r="A131" s="17">
        <f t="shared" si="0"/>
      </c>
      <c r="B131" s="27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5">
        <v>0</v>
      </c>
      <c r="AA131" s="21">
        <f t="shared" si="1"/>
      </c>
      <c r="AB131" s="22">
        <v>0</v>
      </c>
      <c r="AC131" s="23">
        <f>MIN(3, SUMPRODUCT((MOD('Streak'!C131:Z131,5)=0)*(MOD('Streak'!C131:Z131,10)&lt;&gt;0)*('Streak'!C131:Z131&gt;0))) * 5</f>
      </c>
      <c r="AD131" s="23">
        <f>MIN(2, SUMPRODUCT((MOD('Streak'!C131:Z131,10)=0)*('Streak'!C131:Z131&gt;0))) * 20</f>
      </c>
      <c r="AE131" s="24">
        <f t="shared" si="2"/>
      </c>
    </row>
    <row customHeight="true" ht="18" r="132">
      <c r="A132" s="17">
        <f t="shared" si="0"/>
      </c>
      <c r="B132" s="27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0</v>
      </c>
      <c r="Z132" s="25">
        <v>0</v>
      </c>
      <c r="AA132" s="21">
        <f t="shared" si="1"/>
      </c>
      <c r="AB132" s="22">
        <v>0</v>
      </c>
      <c r="AC132" s="23">
        <f>MIN(3, SUMPRODUCT((MOD('Streak'!C132:Z132,5)=0)*(MOD('Streak'!C132:Z132,10)&lt;&gt;0)*('Streak'!C132:Z132&gt;0))) * 5</f>
      </c>
      <c r="AD132" s="23">
        <f>MIN(2, SUMPRODUCT((MOD('Streak'!C132:Z132,10)=0)*('Streak'!C132:Z132&gt;0))) * 20</f>
      </c>
      <c r="AE132" s="24">
        <f t="shared" si="2"/>
      </c>
    </row>
    <row customHeight="true" ht="18" r="133">
      <c r="A133" s="17">
        <f t="shared" si="0"/>
      </c>
      <c r="B133" s="27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0</v>
      </c>
      <c r="Z133" s="25">
        <v>0</v>
      </c>
      <c r="AA133" s="21">
        <f t="shared" si="1"/>
      </c>
      <c r="AB133" s="22">
        <v>0</v>
      </c>
      <c r="AC133" s="23">
        <f>MIN(3, SUMPRODUCT((MOD('Streak'!C133:Z133,5)=0)*(MOD('Streak'!C133:Z133,10)&lt;&gt;0)*('Streak'!C133:Z133&gt;0))) * 5</f>
      </c>
      <c r="AD133" s="23">
        <f>MIN(2, SUMPRODUCT((MOD('Streak'!C133:Z133,10)=0)*('Streak'!C133:Z133&gt;0))) * 20</f>
      </c>
      <c r="AE133" s="24">
        <f t="shared" si="2"/>
      </c>
    </row>
    <row customHeight="true" ht="18" r="134">
      <c r="A134" s="17">
        <f t="shared" si="0"/>
      </c>
      <c r="B134" s="27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5">
        <v>0</v>
      </c>
      <c r="AA134" s="21">
        <f t="shared" si="1"/>
      </c>
      <c r="AB134" s="22">
        <v>0</v>
      </c>
      <c r="AC134" s="23">
        <f>MIN(3, SUMPRODUCT((MOD('Streak'!C134:Z134,5)=0)*(MOD('Streak'!C134:Z134,10)&lt;&gt;0)*('Streak'!C134:Z134&gt;0))) * 5</f>
      </c>
      <c r="AD134" s="23">
        <f>MIN(2, SUMPRODUCT((MOD('Streak'!C134:Z134,10)=0)*('Streak'!C134:Z134&gt;0))) * 20</f>
      </c>
      <c r="AE134" s="24">
        <f t="shared" si="2"/>
      </c>
    </row>
    <row customHeight="true" ht="18" r="135">
      <c r="A135" s="17">
        <f t="shared" si="0"/>
      </c>
      <c r="B135" s="27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1</v>
      </c>
      <c r="W135" s="19">
        <v>0</v>
      </c>
      <c r="X135" s="19">
        <v>1</v>
      </c>
      <c r="Y135" s="19">
        <v>0</v>
      </c>
      <c r="Z135" s="25">
        <v>0</v>
      </c>
      <c r="AA135" s="21">
        <f t="shared" si="1"/>
      </c>
      <c r="AB135" s="22">
        <v>0</v>
      </c>
      <c r="AC135" s="23">
        <f>MIN(3, SUMPRODUCT((MOD('Streak'!C135:Z135,5)=0)*(MOD('Streak'!C135:Z135,10)&lt;&gt;0)*('Streak'!C135:Z135&gt;0))) * 5</f>
      </c>
      <c r="AD135" s="23">
        <f>MIN(2, SUMPRODUCT((MOD('Streak'!C135:Z135,10)=0)*('Streak'!C135:Z135&gt;0))) * 20</f>
      </c>
      <c r="AE135" s="24">
        <f t="shared" si="2"/>
      </c>
    </row>
    <row customHeight="true" ht="18" r="136">
      <c r="A136" s="17">
        <f t="shared" si="0"/>
      </c>
      <c r="B136" s="27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1</v>
      </c>
      <c r="Y136" s="19">
        <v>0</v>
      </c>
      <c r="Z136" s="25">
        <v>0</v>
      </c>
      <c r="AA136" s="21">
        <f t="shared" si="1"/>
      </c>
      <c r="AB136" s="22">
        <v>0</v>
      </c>
      <c r="AC136" s="23">
        <f>MIN(3, SUMPRODUCT((MOD('Streak'!C136:Z136,5)=0)*(MOD('Streak'!C136:Z136,10)&lt;&gt;0)*('Streak'!C136:Z136&gt;0))) * 5</f>
      </c>
      <c r="AD136" s="23">
        <f>MIN(2, SUMPRODUCT((MOD('Streak'!C136:Z136,10)=0)*('Streak'!C136:Z136&gt;0))) * 20</f>
      </c>
      <c r="AE136" s="24">
        <f t="shared" si="2"/>
      </c>
    </row>
    <row customHeight="true" ht="18" r="137">
      <c r="A137" s="17">
        <f t="shared" si="0"/>
      </c>
      <c r="B137" s="27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1</v>
      </c>
      <c r="Y137" s="19">
        <v>0</v>
      </c>
      <c r="Z137" s="25">
        <v>0</v>
      </c>
      <c r="AA137" s="21">
        <f t="shared" si="1"/>
      </c>
      <c r="AB137" s="22">
        <v>0</v>
      </c>
      <c r="AC137" s="23">
        <f>MIN(3, SUMPRODUCT((MOD('Streak'!C137:Z137,5)=0)*(MOD('Streak'!C137:Z137,10)&lt;&gt;0)*('Streak'!C137:Z137&gt;0))) * 5</f>
      </c>
      <c r="AD137" s="23">
        <f>MIN(2, SUMPRODUCT((MOD('Streak'!C137:Z137,10)=0)*('Streak'!C137:Z137&gt;0))) * 20</f>
      </c>
      <c r="AE137" s="24">
        <f t="shared" si="2"/>
      </c>
    </row>
    <row customHeight="true" ht="18" r="138">
      <c r="A138" s="17">
        <f t="shared" si="0"/>
      </c>
      <c r="B138" s="27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1</v>
      </c>
      <c r="Z138" s="25">
        <v>0</v>
      </c>
      <c r="AA138" s="21">
        <f t="shared" si="1"/>
      </c>
      <c r="AB138" s="22">
        <v>0</v>
      </c>
      <c r="AC138" s="23">
        <f>MIN(3, SUMPRODUCT((MOD('Streak'!C138:Z138,5)=0)*(MOD('Streak'!C138:Z138,10)&lt;&gt;0)*('Streak'!C138:Z138&gt;0))) * 5</f>
      </c>
      <c r="AD138" s="23">
        <f>MIN(2, SUMPRODUCT((MOD('Streak'!C138:Z138,10)=0)*('Streak'!C138:Z138&gt;0))) * 20</f>
      </c>
      <c r="AE138" s="24">
        <f t="shared" si="2"/>
      </c>
    </row>
    <row customHeight="true" ht="18" r="139">
      <c r="A139" s="17">
        <f t="shared" si="0"/>
      </c>
      <c r="B139" s="27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1</v>
      </c>
      <c r="Z139" s="25">
        <v>0</v>
      </c>
      <c r="AA139" s="21">
        <f t="shared" si="1"/>
      </c>
      <c r="AB139" s="22">
        <v>0</v>
      </c>
      <c r="AC139" s="23">
        <f>MIN(3, SUMPRODUCT((MOD('Streak'!C139:Z139,5)=0)*(MOD('Streak'!C139:Z139,10)&lt;&gt;0)*('Streak'!C139:Z139&gt;0))) * 5</f>
      </c>
      <c r="AD139" s="23">
        <f>MIN(2, SUMPRODUCT((MOD('Streak'!C139:Z139,10)=0)*('Streak'!C139:Z139&gt;0))) * 20</f>
      </c>
      <c r="AE139" s="24">
        <f t="shared" si="2"/>
      </c>
    </row>
    <row customHeight="true" ht="18" r="140">
      <c r="A140" s="17">
        <f t="shared" si="0"/>
      </c>
      <c r="B140" s="27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1</v>
      </c>
      <c r="Z140" s="25">
        <v>0</v>
      </c>
      <c r="AA140" s="21">
        <f t="shared" si="1"/>
      </c>
      <c r="AB140" s="22">
        <v>0</v>
      </c>
      <c r="AC140" s="23">
        <f>MIN(3, SUMPRODUCT((MOD('Streak'!C140:Z140,5)=0)*(MOD('Streak'!C140:Z140,10)&lt;&gt;0)*('Streak'!C140:Z140&gt;0))) * 5</f>
      </c>
      <c r="AD140" s="23">
        <f>MIN(2, SUMPRODUCT((MOD('Streak'!C140:Z140,10)=0)*('Streak'!C140:Z140&gt;0))) * 20</f>
      </c>
      <c r="AE140" s="24">
        <f t="shared" si="2"/>
      </c>
    </row>
    <row customHeight="true" ht="18" r="141">
      <c r="A141" s="17">
        <f t="shared" si="0"/>
      </c>
      <c r="B141" s="27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1</v>
      </c>
      <c r="Z141" s="25">
        <v>0</v>
      </c>
      <c r="AA141" s="21">
        <f t="shared" si="1"/>
      </c>
      <c r="AB141" s="22">
        <v>0</v>
      </c>
      <c r="AC141" s="23">
        <f>MIN(3, SUMPRODUCT((MOD('Streak'!C141:Z141,5)=0)*(MOD('Streak'!C141:Z141,10)&lt;&gt;0)*('Streak'!C141:Z141&gt;0))) * 5</f>
      </c>
      <c r="AD141" s="23">
        <f>MIN(2, SUMPRODUCT((MOD('Streak'!C141:Z141,10)=0)*('Streak'!C141:Z141&gt;0))) * 20</f>
      </c>
      <c r="AE141" s="24">
        <f t="shared" si="2"/>
      </c>
    </row>
    <row customHeight="true" ht="18" r="142">
      <c r="A142" s="17">
        <f t="shared" si="0"/>
      </c>
      <c r="B142" s="27" t="s">
        <v>152</v>
      </c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5">
        <v>0</v>
      </c>
      <c r="AA142" s="21">
        <f t="shared" si="1"/>
      </c>
      <c r="AB142" s="22">
        <v>0</v>
      </c>
      <c r="AC142" s="23">
        <f>MIN(3, SUMPRODUCT((MOD('Streak'!C142:Z142,5)=0)*(MOD('Streak'!C142:Z142,10)&lt;&gt;0)*('Streak'!C142:Z142&gt;0))) * 5</f>
      </c>
      <c r="AD142" s="23">
        <f>MIN(2, SUMPRODUCT((MOD('Streak'!C142:Z142,10)=0)*('Streak'!C142:Z142&gt;0))) * 20</f>
      </c>
      <c r="AE142" s="24">
        <f t="shared" si="2"/>
      </c>
    </row>
    <row customHeight="true" ht="18" r="143">
      <c r="A143" s="17">
        <f t="shared" si="0"/>
      </c>
      <c r="B143" s="27" t="s">
        <v>152</v>
      </c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1</v>
      </c>
      <c r="Z143" s="25">
        <v>0</v>
      </c>
      <c r="AA143" s="21">
        <f t="shared" si="1"/>
      </c>
      <c r="AB143" s="22">
        <v>0</v>
      </c>
      <c r="AC143" s="23">
        <f>MIN(3, SUMPRODUCT((MOD('Streak'!C143:Z143,5)=0)*(MOD('Streak'!C143:Z143,10)&lt;&gt;0)*('Streak'!C143:Z143&gt;0))) * 5</f>
      </c>
      <c r="AD143" s="23">
        <f>MIN(2, SUMPRODUCT((MOD('Streak'!C143:Z143,10)=0)*('Streak'!C143:Z143&gt;0))) * 20</f>
      </c>
      <c r="AE143" s="24">
        <f t="shared" si="2"/>
      </c>
    </row>
    <row customHeight="true" ht="18" r="144">
      <c r="A144" s="17">
        <f t="shared" si="0"/>
      </c>
      <c r="B144" s="27" t="s">
        <v>153</v>
      </c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1</v>
      </c>
      <c r="AA144" s="21">
        <f t="shared" si="1"/>
      </c>
      <c r="AB144" s="22">
        <v>0</v>
      </c>
      <c r="AC144" s="23">
        <f>MIN(3, SUMPRODUCT((MOD('Streak'!C144:Z144,5)=0)*(MOD('Streak'!C144:Z144,10)&lt;&gt;0)*('Streak'!C144:Z144&gt;0))) * 5</f>
      </c>
      <c r="AD144" s="23">
        <f>MIN(2, SUMPRODUCT((MOD('Streak'!C144:Z144,10)=0)*('Streak'!C144:Z144&gt;0))) * 20</f>
      </c>
      <c r="AE144" s="24">
        <f t="shared" si="2"/>
      </c>
    </row>
    <row customHeight="true" ht="18" r="145">
      <c r="A145" s="17">
        <f t="shared" si="0"/>
      </c>
      <c r="B145" s="29" t="s">
        <v>154</v>
      </c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8">
        <v>1</v>
      </c>
      <c r="AA145" s="21">
        <f t="shared" si="1"/>
      </c>
      <c r="AB145" s="22">
        <v>0</v>
      </c>
      <c r="AC145" s="23">
        <f>MIN(3, SUMPRODUCT((MOD('Streak'!C145:Z145,5)=0)*(MOD('Streak'!C145:Z145,10)&lt;&gt;0)*('Streak'!C145:Z145&gt;0))) * 5</f>
      </c>
      <c r="AD145" s="23">
        <f>MIN(2, SUMPRODUCT((MOD('Streak'!C145:Z145,10)=0)*('Streak'!C145:Z145&gt;0))) * 20</f>
      </c>
      <c r="AE145" s="24">
        <f t="shared" si="2"/>
      </c>
    </row>
    <row customHeight="true" ht="18" r="146">
      <c r="A146" s="17">
        <f t="shared" si="0"/>
      </c>
      <c r="B146" s="27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5">
        <v>0</v>
      </c>
      <c r="AA146" s="21">
        <f t="shared" si="1"/>
      </c>
      <c r="AB146" s="22">
        <v>0</v>
      </c>
      <c r="AC146" s="23">
        <f>MIN(3, SUMPRODUCT((MOD('Streak'!C146:Z146,5)=0)*(MOD('Streak'!C146:Z146,10)&lt;&gt;0)*('Streak'!C146:Z146&gt;0))) * 5</f>
      </c>
      <c r="AD146" s="23">
        <f>MIN(2, SUMPRODUCT((MOD('Streak'!C146:Z146,10)=0)*('Streak'!C146:Z146&gt;0))) * 20</f>
      </c>
      <c r="AE146" s="24">
        <f t="shared" si="2"/>
      </c>
    </row>
    <row customHeight="true" ht="18" r="147">
      <c r="A147" s="17">
        <f t="shared" si="0"/>
      </c>
      <c r="B147" s="27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5">
        <v>0</v>
      </c>
      <c r="AA147" s="21">
        <f t="shared" si="1"/>
      </c>
      <c r="AB147" s="22">
        <v>0</v>
      </c>
      <c r="AC147" s="23">
        <f>MIN(3, SUMPRODUCT((MOD('Streak'!C147:Z147,5)=0)*(MOD('Streak'!C147:Z147,10)&lt;&gt;0)*('Streak'!C147:Z147&gt;0))) * 5</f>
      </c>
      <c r="AD147" s="23">
        <f>MIN(2, SUMPRODUCT((MOD('Streak'!C147:Z147,10)=0)*('Streak'!C147:Z147&gt;0))) * 20</f>
      </c>
      <c r="AE147" s="24">
        <f t="shared" si="2"/>
      </c>
    </row>
    <row customHeight="true" ht="18" r="148">
      <c r="A148" s="17">
        <f t="shared" si="0"/>
      </c>
      <c r="B148" s="27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5">
        <v>0</v>
      </c>
      <c r="AA148" s="21">
        <f t="shared" si="1"/>
      </c>
      <c r="AB148" s="22">
        <v>0</v>
      </c>
      <c r="AC148" s="23">
        <f>MIN(3, SUMPRODUCT((MOD('Streak'!C148:Z148,5)=0)*(MOD('Streak'!C148:Z148,10)&lt;&gt;0)*('Streak'!C148:Z148&gt;0))) * 5</f>
      </c>
      <c r="AD148" s="23">
        <f>MIN(2, SUMPRODUCT((MOD('Streak'!C148:Z148,10)=0)*('Streak'!C148:Z148&gt;0))) * 20</f>
      </c>
      <c r="AE148" s="24">
        <f t="shared" si="2"/>
      </c>
    </row>
    <row customHeight="true" ht="18" r="149">
      <c r="A149" s="17">
        <f t="shared" si="0"/>
      </c>
      <c r="B149" s="27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5">
        <v>0</v>
      </c>
      <c r="AA149" s="21">
        <f t="shared" si="1"/>
      </c>
      <c r="AB149" s="22">
        <v>0</v>
      </c>
      <c r="AC149" s="23">
        <f>MIN(3, SUMPRODUCT((MOD('Streak'!C149:Z149,5)=0)*(MOD('Streak'!C149:Z149,10)&lt;&gt;0)*('Streak'!C149:Z149&gt;0))) * 5</f>
      </c>
      <c r="AD149" s="23">
        <f>MIN(2, SUMPRODUCT((MOD('Streak'!C149:Z149,10)=0)*('Streak'!C149:Z149&gt;0))) * 20</f>
      </c>
      <c r="AE149" s="24">
        <f t="shared" si="2"/>
      </c>
    </row>
    <row customHeight="true" ht="18" r="150">
      <c r="A150" s="17">
        <f t="shared" si="0"/>
      </c>
      <c r="B150" s="27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5">
        <v>0</v>
      </c>
      <c r="AA150" s="21">
        <f t="shared" si="1"/>
      </c>
      <c r="AB150" s="22">
        <v>0</v>
      </c>
      <c r="AC150" s="23">
        <f>MIN(3, SUMPRODUCT((MOD('Streak'!C150:Z150,5)=0)*(MOD('Streak'!C150:Z150,10)&lt;&gt;0)*('Streak'!C150:Z150&gt;0))) * 5</f>
      </c>
      <c r="AD150" s="23">
        <f>MIN(2, SUMPRODUCT((MOD('Streak'!C150:Z150,10)=0)*('Streak'!C150:Z150&gt;0))) * 20</f>
      </c>
      <c r="AE150" s="24">
        <f t="shared" si="2"/>
      </c>
    </row>
    <row customHeight="true" ht="18" r="151">
      <c r="A151" s="17">
        <f t="shared" si="0"/>
      </c>
      <c r="B151" s="27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5">
        <v>0</v>
      </c>
      <c r="AA151" s="21">
        <f t="shared" si="1"/>
      </c>
      <c r="AB151" s="22">
        <v>0</v>
      </c>
      <c r="AC151" s="23">
        <f>MIN(3, SUMPRODUCT((MOD('Streak'!C151:Z151,5)=0)*(MOD('Streak'!C151:Z151,10)&lt;&gt;0)*('Streak'!C151:Z151&gt;0))) * 5</f>
      </c>
      <c r="AD151" s="23">
        <f>MIN(2, SUMPRODUCT((MOD('Streak'!C151:Z151,10)=0)*('Streak'!C151:Z151&gt;0))) * 20</f>
      </c>
      <c r="AE151" s="24">
        <f t="shared" si="2"/>
      </c>
    </row>
    <row customHeight="true" ht="18" r="152">
      <c r="A152" s="17">
        <f t="shared" si="0"/>
      </c>
      <c r="B152" s="27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5">
        <v>0</v>
      </c>
      <c r="AA152" s="21">
        <f t="shared" si="1"/>
      </c>
      <c r="AB152" s="22">
        <v>0</v>
      </c>
      <c r="AC152" s="23">
        <f>MIN(3, SUMPRODUCT((MOD('Streak'!C152:Z152,5)=0)*(MOD('Streak'!C152:Z152,10)&lt;&gt;0)*('Streak'!C152:Z152&gt;0))) * 5</f>
      </c>
      <c r="AD152" s="23">
        <f>MIN(2, SUMPRODUCT((MOD('Streak'!C152:Z152,10)=0)*('Streak'!C152:Z152&gt;0))) * 20</f>
      </c>
      <c r="AE152" s="24">
        <f t="shared" si="2"/>
      </c>
    </row>
    <row customHeight="true" ht="18" r="153">
      <c r="A153" s="17">
        <f t="shared" si="0"/>
      </c>
      <c r="B153" s="27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5">
        <v>0</v>
      </c>
      <c r="AA153" s="21">
        <f t="shared" si="1"/>
      </c>
      <c r="AB153" s="22">
        <v>0</v>
      </c>
      <c r="AC153" s="23">
        <f>MIN(3, SUMPRODUCT((MOD('Streak'!C153:Z153,5)=0)*(MOD('Streak'!C153:Z153,10)&lt;&gt;0)*('Streak'!C153:Z153&gt;0))) * 5</f>
      </c>
      <c r="AD153" s="23">
        <f>MIN(2, SUMPRODUCT((MOD('Streak'!C153:Z153,10)=0)*('Streak'!C153:Z153&gt;0))) * 20</f>
      </c>
      <c r="AE153" s="24">
        <f t="shared" si="2"/>
      </c>
    </row>
    <row customHeight="true" ht="18" r="154">
      <c r="A154" s="17">
        <f t="shared" si="0"/>
      </c>
      <c r="B154" s="27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5">
        <v>0</v>
      </c>
      <c r="AA154" s="21">
        <f t="shared" si="1"/>
      </c>
      <c r="AB154" s="22">
        <v>0</v>
      </c>
      <c r="AC154" s="23">
        <f>MIN(3, SUMPRODUCT((MOD('Streak'!C154:Z154,5)=0)*(MOD('Streak'!C154:Z154,10)&lt;&gt;0)*('Streak'!C154:Z154&gt;0))) * 5</f>
      </c>
      <c r="AD154" s="23">
        <f>MIN(2, SUMPRODUCT((MOD('Streak'!C154:Z154,10)=0)*('Streak'!C154:Z154&gt;0))) * 20</f>
      </c>
      <c r="AE154" s="24">
        <f t="shared" si="2"/>
      </c>
    </row>
    <row customHeight="true" ht="18" r="155">
      <c r="A155" s="17">
        <f t="shared" si="0"/>
      </c>
      <c r="B155" s="27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5">
        <v>0</v>
      </c>
      <c r="AA155" s="21">
        <f t="shared" si="1"/>
      </c>
      <c r="AB155" s="22">
        <v>0</v>
      </c>
      <c r="AC155" s="23">
        <f>MIN(3, SUMPRODUCT((MOD('Streak'!C155:Z155,5)=0)*(MOD('Streak'!C155:Z155,10)&lt;&gt;0)*('Streak'!C155:Z155&gt;0))) * 5</f>
      </c>
      <c r="AD155" s="23">
        <f>MIN(2, SUMPRODUCT((MOD('Streak'!C155:Z155,10)=0)*('Streak'!C155:Z155&gt;0))) * 20</f>
      </c>
      <c r="AE155" s="24">
        <f t="shared" si="2"/>
      </c>
    </row>
    <row customHeight="true" ht="18" r="156">
      <c r="A156" s="17">
        <f t="shared" si="0"/>
      </c>
      <c r="B156" s="27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5">
        <v>0</v>
      </c>
      <c r="AA156" s="21">
        <f t="shared" si="1"/>
      </c>
      <c r="AB156" s="22">
        <v>0</v>
      </c>
      <c r="AC156" s="23">
        <f>MIN(3, SUMPRODUCT((MOD('Streak'!C156:Z156,5)=0)*(MOD('Streak'!C156:Z156,10)&lt;&gt;0)*('Streak'!C156:Z156&gt;0))) * 5</f>
      </c>
      <c r="AD156" s="23">
        <f>MIN(2, SUMPRODUCT((MOD('Streak'!C156:Z156,10)=0)*('Streak'!C156:Z156&gt;0))) * 20</f>
      </c>
      <c r="AE156" s="24">
        <f t="shared" si="2"/>
      </c>
    </row>
    <row customHeight="true" ht="18" r="157">
      <c r="A157" s="17">
        <f t="shared" si="0"/>
      </c>
      <c r="B157" s="27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5">
        <v>0</v>
      </c>
      <c r="AA157" s="21">
        <f t="shared" si="1"/>
      </c>
      <c r="AB157" s="22">
        <v>0</v>
      </c>
      <c r="AC157" s="23">
        <f>MIN(3, SUMPRODUCT((MOD('Streak'!C157:Z157,5)=0)*(MOD('Streak'!C157:Z157,10)&lt;&gt;0)*('Streak'!C157:Z157&gt;0))) * 5</f>
      </c>
      <c r="AD157" s="23">
        <f>MIN(2, SUMPRODUCT((MOD('Streak'!C157:Z157,10)=0)*('Streak'!C157:Z157&gt;0))) * 20</f>
      </c>
      <c r="AE157" s="24">
        <f t="shared" si="2"/>
      </c>
    </row>
    <row customHeight="true" ht="18" r="158">
      <c r="A158" s="17">
        <f t="shared" si="0"/>
      </c>
      <c r="B158" s="27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5">
        <v>0</v>
      </c>
      <c r="AA158" s="21">
        <f t="shared" si="1"/>
      </c>
      <c r="AB158" s="22">
        <v>0</v>
      </c>
      <c r="AC158" s="23">
        <f>MIN(3, SUMPRODUCT((MOD('Streak'!C158:Z158,5)=0)*(MOD('Streak'!C158:Z158,10)&lt;&gt;0)*('Streak'!C158:Z158&gt;0))) * 5</f>
      </c>
      <c r="AD158" s="23">
        <f>MIN(2, SUMPRODUCT((MOD('Streak'!C158:Z158,10)=0)*('Streak'!C158:Z158&gt;0))) * 20</f>
      </c>
      <c r="AE158" s="24">
        <f t="shared" si="2"/>
      </c>
    </row>
    <row customHeight="true" ht="18" r="159">
      <c r="A159" s="17">
        <f t="shared" si="0"/>
      </c>
      <c r="B159" s="27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5">
        <v>0</v>
      </c>
      <c r="AA159" s="21">
        <f t="shared" si="1"/>
      </c>
      <c r="AB159" s="22">
        <v>0</v>
      </c>
      <c r="AC159" s="23">
        <f>MIN(3, SUMPRODUCT((MOD('Streak'!C159:Z159,5)=0)*(MOD('Streak'!C159:Z159,10)&lt;&gt;0)*('Streak'!C159:Z159&gt;0))) * 5</f>
      </c>
      <c r="AD159" s="23">
        <f>MIN(2, SUMPRODUCT((MOD('Streak'!C159:Z159,10)=0)*('Streak'!C159:Z159&gt;0))) * 20</f>
      </c>
      <c r="AE159" s="24">
        <f t="shared" si="2"/>
      </c>
    </row>
    <row customHeight="true" ht="18" r="160">
      <c r="A160" s="17">
        <f t="shared" si="0"/>
      </c>
      <c r="B160" s="27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5">
        <v>0</v>
      </c>
      <c r="AA160" s="21">
        <f t="shared" si="1"/>
      </c>
      <c r="AB160" s="22">
        <v>0</v>
      </c>
      <c r="AC160" s="23">
        <f>MIN(3, SUMPRODUCT((MOD('Streak'!C160:Z160,5)=0)*(MOD('Streak'!C160:Z160,10)&lt;&gt;0)*('Streak'!C160:Z160&gt;0))) * 5</f>
      </c>
      <c r="AD160" s="23">
        <f>MIN(2, SUMPRODUCT((MOD('Streak'!C160:Z160,10)=0)*('Streak'!C160:Z160&gt;0))) * 20</f>
      </c>
      <c r="AE160" s="24">
        <f t="shared" si="2"/>
      </c>
    </row>
    <row customHeight="true" ht="18" r="161">
      <c r="A161" s="17">
        <f t="shared" si="0"/>
      </c>
      <c r="B161" s="27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5">
        <v>0</v>
      </c>
      <c r="AA161" s="21">
        <f t="shared" si="1"/>
      </c>
      <c r="AB161" s="22">
        <v>0</v>
      </c>
      <c r="AC161" s="23">
        <f>MIN(3, SUMPRODUCT((MOD('Streak'!C161:Z161,5)=0)*(MOD('Streak'!C161:Z161,10)&lt;&gt;0)*('Streak'!C161:Z161&gt;0))) * 5</f>
      </c>
      <c r="AD161" s="23">
        <f>MIN(2, SUMPRODUCT((MOD('Streak'!C161:Z161,10)=0)*('Streak'!C161:Z161&gt;0))) * 20</f>
      </c>
      <c r="AE161" s="24">
        <f t="shared" si="2"/>
      </c>
    </row>
    <row customHeight="true" ht="18" r="162">
      <c r="A162" s="17">
        <f t="shared" si="0"/>
      </c>
      <c r="B162" s="27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5">
        <v>0</v>
      </c>
      <c r="AA162" s="21">
        <f t="shared" si="1"/>
      </c>
      <c r="AB162" s="22">
        <v>0</v>
      </c>
      <c r="AC162" s="23">
        <f>MIN(3, SUMPRODUCT((MOD('Streak'!C162:Z162,5)=0)*(MOD('Streak'!C162:Z162,10)&lt;&gt;0)*('Streak'!C162:Z162&gt;0))) * 5</f>
      </c>
      <c r="AD162" s="23">
        <f>MIN(2, SUMPRODUCT((MOD('Streak'!C162:Z162,10)=0)*('Streak'!C162:Z162&gt;0))) * 20</f>
      </c>
      <c r="AE162" s="24">
        <f t="shared" si="2"/>
      </c>
    </row>
    <row customHeight="true" ht="18" r="163">
      <c r="A163" s="17">
        <f t="shared" si="0"/>
      </c>
      <c r="B163" s="27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5">
        <v>0</v>
      </c>
      <c r="AA163" s="21">
        <f t="shared" si="1"/>
      </c>
      <c r="AB163" s="22">
        <v>0</v>
      </c>
      <c r="AC163" s="23">
        <f>MIN(3, SUMPRODUCT((MOD('Streak'!C163:Z163,5)=0)*(MOD('Streak'!C163:Z163,10)&lt;&gt;0)*('Streak'!C163:Z163&gt;0))) * 5</f>
      </c>
      <c r="AD163" s="23">
        <f>MIN(2, SUMPRODUCT((MOD('Streak'!C163:Z163,10)=0)*('Streak'!C163:Z163&gt;0))) * 20</f>
      </c>
      <c r="AE163" s="24">
        <f t="shared" si="2"/>
      </c>
    </row>
    <row customHeight="true" ht="18" r="164">
      <c r="A164" s="17">
        <f t="shared" si="0"/>
      </c>
      <c r="B164" s="27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5">
        <v>0</v>
      </c>
      <c r="AA164" s="21">
        <f t="shared" si="1"/>
      </c>
      <c r="AB164" s="22">
        <v>0</v>
      </c>
      <c r="AC164" s="23">
        <f>MIN(3, SUMPRODUCT((MOD('Streak'!C164:Z164,5)=0)*(MOD('Streak'!C164:Z164,10)&lt;&gt;0)*('Streak'!C164:Z164&gt;0))) * 5</f>
      </c>
      <c r="AD164" s="23">
        <f>MIN(2, SUMPRODUCT((MOD('Streak'!C164:Z164,10)=0)*('Streak'!C164:Z164&gt;0))) * 20</f>
      </c>
      <c r="AE164" s="24">
        <f t="shared" si="2"/>
      </c>
    </row>
    <row customHeight="true" ht="18" r="165">
      <c r="A165" s="17">
        <f t="shared" si="0"/>
      </c>
      <c r="B165" s="27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5">
        <v>0</v>
      </c>
      <c r="AA165" s="21">
        <f t="shared" si="1"/>
      </c>
      <c r="AB165" s="22">
        <v>0</v>
      </c>
      <c r="AC165" s="23">
        <f>MIN(3, SUMPRODUCT((MOD('Streak'!C165:Z165,5)=0)*(MOD('Streak'!C165:Z165,10)&lt;&gt;0)*('Streak'!C165:Z165&gt;0))) * 5</f>
      </c>
      <c r="AD165" s="23">
        <f>MIN(2, SUMPRODUCT((MOD('Streak'!C165:Z165,10)=0)*('Streak'!C165:Z165&gt;0))) * 20</f>
      </c>
      <c r="AE165" s="24">
        <f t="shared" si="2"/>
      </c>
    </row>
    <row customHeight="true" ht="18" r="166">
      <c r="A166" s="17">
        <f t="shared" si="0"/>
      </c>
      <c r="B166" s="27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5">
        <v>0</v>
      </c>
      <c r="AA166" s="21">
        <f t="shared" si="1"/>
      </c>
      <c r="AB166" s="22">
        <v>0</v>
      </c>
      <c r="AC166" s="23">
        <f>MIN(3, SUMPRODUCT((MOD('Streak'!C166:Z166,5)=0)*(MOD('Streak'!C166:Z166,10)&lt;&gt;0)*('Streak'!C166:Z166&gt;0))) * 5</f>
      </c>
      <c r="AD166" s="23">
        <f>MIN(2, SUMPRODUCT((MOD('Streak'!C166:Z166,10)=0)*('Streak'!C166:Z166&gt;0))) * 20</f>
      </c>
      <c r="AE166" s="24">
        <f t="shared" si="2"/>
      </c>
    </row>
    <row customHeight="true" ht="18" r="167">
      <c r="A167" s="17">
        <f t="shared" si="0"/>
      </c>
      <c r="B167" s="27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5">
        <v>0</v>
      </c>
      <c r="AA167" s="21">
        <f t="shared" si="1"/>
      </c>
      <c r="AB167" s="22">
        <v>0</v>
      </c>
      <c r="AC167" s="23">
        <f>MIN(3, SUMPRODUCT((MOD('Streak'!C167:Z167,5)=0)*(MOD('Streak'!C167:Z167,10)&lt;&gt;0)*('Streak'!C167:Z167&gt;0))) * 5</f>
      </c>
      <c r="AD167" s="23">
        <f>MIN(2, SUMPRODUCT((MOD('Streak'!C167:Z167,10)=0)*('Streak'!C167:Z167&gt;0))) * 20</f>
      </c>
      <c r="AE167" s="24">
        <f t="shared" si="2"/>
      </c>
    </row>
    <row customHeight="true" ht="18" r="168">
      <c r="A168" s="17">
        <f t="shared" si="0"/>
      </c>
      <c r="B168" s="27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5">
        <v>0</v>
      </c>
      <c r="AA168" s="21">
        <f t="shared" si="1"/>
      </c>
      <c r="AB168" s="22">
        <v>0</v>
      </c>
      <c r="AC168" s="23">
        <f>MIN(3, SUMPRODUCT((MOD('Streak'!C168:Z168,5)=0)*(MOD('Streak'!C168:Z168,10)&lt;&gt;0)*('Streak'!C168:Z168&gt;0))) * 5</f>
      </c>
      <c r="AD168" s="23">
        <f>MIN(2, SUMPRODUCT((MOD('Streak'!C168:Z168,10)=0)*('Streak'!C168:Z168&gt;0))) * 20</f>
      </c>
      <c r="AE168" s="24">
        <f t="shared" si="2"/>
      </c>
    </row>
    <row customHeight="true" ht="18" r="169">
      <c r="A169" s="17">
        <f t="shared" si="0"/>
      </c>
      <c r="B169" s="27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5">
        <v>0</v>
      </c>
      <c r="AA169" s="21">
        <f t="shared" si="1"/>
      </c>
      <c r="AB169" s="22">
        <v>0</v>
      </c>
      <c r="AC169" s="23">
        <f>MIN(3, SUMPRODUCT((MOD('Streak'!C169:Z169,5)=0)*(MOD('Streak'!C169:Z169,10)&lt;&gt;0)*('Streak'!C169:Z169&gt;0))) * 5</f>
      </c>
      <c r="AD169" s="23">
        <f>MIN(2, SUMPRODUCT((MOD('Streak'!C169:Z169,10)=0)*('Streak'!C169:Z169&gt;0))) * 20</f>
      </c>
      <c r="AE169" s="24">
        <f t="shared" si="2"/>
      </c>
    </row>
    <row customHeight="true" ht="18" r="170">
      <c r="A170" s="17">
        <f t="shared" si="0"/>
      </c>
      <c r="B170" s="27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5">
        <v>0</v>
      </c>
      <c r="AA170" s="21">
        <f t="shared" si="1"/>
      </c>
      <c r="AB170" s="22">
        <v>0</v>
      </c>
      <c r="AC170" s="23">
        <f>MIN(3, SUMPRODUCT((MOD('Streak'!C170:Z170,5)=0)*(MOD('Streak'!C170:Z170,10)&lt;&gt;0)*('Streak'!C170:Z170&gt;0))) * 5</f>
      </c>
      <c r="AD170" s="23">
        <f>MIN(2, SUMPRODUCT((MOD('Streak'!C170:Z170,10)=0)*('Streak'!C170:Z170&gt;0))) * 20</f>
      </c>
      <c r="AE170" s="24">
        <f t="shared" si="2"/>
      </c>
    </row>
    <row customHeight="true" ht="18" r="171">
      <c r="A171" s="17">
        <f t="shared" si="0"/>
      </c>
      <c r="B171" s="27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5">
        <v>0</v>
      </c>
      <c r="AA171" s="21">
        <f t="shared" si="1"/>
      </c>
      <c r="AB171" s="22">
        <v>0</v>
      </c>
      <c r="AC171" s="23">
        <f>MIN(3, SUMPRODUCT((MOD('Streak'!C171:Z171,5)=0)*(MOD('Streak'!C171:Z171,10)&lt;&gt;0)*('Streak'!C171:Z171&gt;0))) * 5</f>
      </c>
      <c r="AD171" s="23">
        <f>MIN(2, SUMPRODUCT((MOD('Streak'!C171:Z171,10)=0)*('Streak'!C171:Z171&gt;0))) * 20</f>
      </c>
      <c r="AE171" s="24">
        <f t="shared" si="2"/>
      </c>
    </row>
    <row customHeight="true" ht="18" r="172">
      <c r="A172" s="17">
        <f t="shared" si="0"/>
      </c>
      <c r="B172" s="27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5">
        <v>0</v>
      </c>
      <c r="AA172" s="21">
        <f t="shared" si="1"/>
      </c>
      <c r="AB172" s="22">
        <v>0</v>
      </c>
      <c r="AC172" s="23">
        <f>MIN(3, SUMPRODUCT((MOD('Streak'!C172:Z172,5)=0)*(MOD('Streak'!C172:Z172,10)&lt;&gt;0)*('Streak'!C172:Z172&gt;0))) * 5</f>
      </c>
      <c r="AD172" s="23">
        <f>MIN(2, SUMPRODUCT((MOD('Streak'!C172:Z172,10)=0)*('Streak'!C172:Z172&gt;0))) * 20</f>
      </c>
      <c r="AE172" s="24">
        <f t="shared" si="2"/>
      </c>
    </row>
    <row customHeight="true" ht="18" r="173">
      <c r="A173" s="17">
        <f t="shared" si="0"/>
      </c>
      <c r="B173" s="27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5">
        <v>0</v>
      </c>
      <c r="AA173" s="21">
        <f t="shared" si="1"/>
      </c>
      <c r="AB173" s="22">
        <v>0</v>
      </c>
      <c r="AC173" s="23">
        <f>MIN(3, SUMPRODUCT((MOD('Streak'!C173:Z173,5)=0)*(MOD('Streak'!C173:Z173,10)&lt;&gt;0)*('Streak'!C173:Z173&gt;0))) * 5</f>
      </c>
      <c r="AD173" s="23">
        <f>MIN(2, SUMPRODUCT((MOD('Streak'!C173:Z173,10)=0)*('Streak'!C173:Z173&gt;0))) * 20</f>
      </c>
      <c r="AE173" s="24">
        <f t="shared" si="2"/>
      </c>
    </row>
    <row customHeight="true" ht="18" r="174">
      <c r="A174" s="17">
        <f t="shared" si="0"/>
      </c>
      <c r="B174" s="27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5">
        <v>0</v>
      </c>
      <c r="AA174" s="21">
        <f t="shared" si="1"/>
      </c>
      <c r="AB174" s="22">
        <v>0</v>
      </c>
      <c r="AC174" s="23">
        <f>MIN(3, SUMPRODUCT((MOD('Streak'!C174:Z174,5)=0)*(MOD('Streak'!C174:Z174,10)&lt;&gt;0)*('Streak'!C174:Z174&gt;0))) * 5</f>
      </c>
      <c r="AD174" s="23">
        <f>MIN(2, SUMPRODUCT((MOD('Streak'!C174:Z174,10)=0)*('Streak'!C174:Z174&gt;0))) * 20</f>
      </c>
      <c r="AE174" s="24">
        <f t="shared" si="2"/>
      </c>
    </row>
    <row customHeight="true" ht="18" r="175">
      <c r="A175" s="17">
        <f t="shared" si="0"/>
      </c>
      <c r="B175" s="27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5">
        <v>0</v>
      </c>
      <c r="AA175" s="21">
        <f t="shared" si="1"/>
      </c>
      <c r="AB175" s="22">
        <v>0</v>
      </c>
      <c r="AC175" s="23">
        <f>MIN(3, SUMPRODUCT((MOD('Streak'!C175:Z175,5)=0)*(MOD('Streak'!C175:Z175,10)&lt;&gt;0)*('Streak'!C175:Z175&gt;0))) * 5</f>
      </c>
      <c r="AD175" s="23">
        <f>MIN(2, SUMPRODUCT((MOD('Streak'!C175:Z175,10)=0)*('Streak'!C175:Z175&gt;0))) * 20</f>
      </c>
      <c r="AE175" s="24">
        <f t="shared" si="2"/>
      </c>
    </row>
    <row customHeight="true" ht="18" r="176">
      <c r="A176" s="17">
        <f t="shared" si="0"/>
      </c>
      <c r="B176" s="30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5">
        <v>0</v>
      </c>
      <c r="AA176" s="21">
        <f t="shared" si="1"/>
      </c>
      <c r="AB176" s="22">
        <v>0</v>
      </c>
      <c r="AC176" s="23">
        <f>MIN(3, SUMPRODUCT((MOD('Streak'!C176:Z176,5)=0)*(MOD('Streak'!C176:Z176,10)&lt;&gt;0)*('Streak'!C176:Z176&gt;0))) * 5</f>
      </c>
      <c r="AD176" s="23">
        <f>MIN(2, SUMPRODUCT((MOD('Streak'!C176:Z176,10)=0)*('Streak'!C176:Z176&gt;0))) * 20</f>
      </c>
      <c r="AE176" s="24">
        <f t="shared" si="2"/>
      </c>
    </row>
    <row customHeight="true" ht="18" r="177">
      <c r="A177" s="17">
        <f t="shared" si="0"/>
      </c>
      <c r="B177" s="27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5">
        <v>0</v>
      </c>
      <c r="AA177" s="21">
        <f t="shared" si="1"/>
      </c>
      <c r="AB177" s="22">
        <v>0</v>
      </c>
      <c r="AC177" s="23">
        <f>MIN(3, SUMPRODUCT((MOD('Streak'!C177:Z177,5)=0)*(MOD('Streak'!C177:Z177,10)&lt;&gt;0)*('Streak'!C177:Z177&gt;0))) * 5</f>
      </c>
      <c r="AD177" s="23">
        <f>MIN(2, SUMPRODUCT((MOD('Streak'!C177:Z177,10)=0)*('Streak'!C177:Z177&gt;0))) * 20</f>
      </c>
      <c r="AE177" s="24">
        <f t="shared" si="2"/>
      </c>
    </row>
    <row customHeight="true" ht="18" r="178">
      <c r="A178" s="17">
        <f t="shared" si="0"/>
      </c>
      <c r="B178" s="27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5">
        <v>0</v>
      </c>
      <c r="AA178" s="21">
        <f t="shared" si="1"/>
      </c>
      <c r="AB178" s="22">
        <v>0</v>
      </c>
      <c r="AC178" s="23">
        <f>MIN(3, SUMPRODUCT((MOD('Streak'!C178:Z178,5)=0)*(MOD('Streak'!C178:Z178,10)&lt;&gt;0)*('Streak'!C178:Z178&gt;0))) * 5</f>
      </c>
      <c r="AD178" s="23">
        <f>MIN(2, SUMPRODUCT((MOD('Streak'!C178:Z178,10)=0)*('Streak'!C178:Z178&gt;0))) * 20</f>
      </c>
      <c r="AE178" s="24">
        <f t="shared" si="2"/>
      </c>
    </row>
    <row customHeight="true" ht="18" r="179">
      <c r="A179" s="17">
        <f t="shared" si="0"/>
      </c>
      <c r="B179" s="27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5">
        <v>0</v>
      </c>
      <c r="AA179" s="21">
        <f t="shared" si="1"/>
      </c>
      <c r="AB179" s="22">
        <v>0</v>
      </c>
      <c r="AC179" s="23">
        <f>MIN(3, SUMPRODUCT((MOD('Streak'!C179:Z179,5)=0)*(MOD('Streak'!C179:Z179,10)&lt;&gt;0)*('Streak'!C179:Z179&gt;0))) * 5</f>
      </c>
      <c r="AD179" s="23">
        <f>MIN(2, SUMPRODUCT((MOD('Streak'!C179:Z179,10)=0)*('Streak'!C179:Z179&gt;0))) * 20</f>
      </c>
      <c r="AE179" s="24">
        <f t="shared" si="2"/>
      </c>
    </row>
    <row customHeight="true" ht="18" r="180">
      <c r="A180" s="17">
        <f t="shared" si="0"/>
      </c>
      <c r="B180" s="27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5">
        <v>0</v>
      </c>
      <c r="AA180" s="21">
        <f t="shared" si="1"/>
      </c>
      <c r="AB180" s="22">
        <v>0</v>
      </c>
      <c r="AC180" s="23">
        <f>MIN(3, SUMPRODUCT((MOD('Streak'!C180:Z180,5)=0)*(MOD('Streak'!C180:Z180,10)&lt;&gt;0)*('Streak'!C180:Z180&gt;0))) * 5</f>
      </c>
      <c r="AD180" s="23">
        <f>MIN(2, SUMPRODUCT((MOD('Streak'!C180:Z180,10)=0)*('Streak'!C180:Z180&gt;0))) * 20</f>
      </c>
      <c r="AE180" s="24">
        <f t="shared" si="2"/>
      </c>
    </row>
    <row customHeight="true" ht="18" r="181">
      <c r="A181" s="17">
        <f t="shared" si="0"/>
      </c>
      <c r="B181" s="31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5">
        <v>0</v>
      </c>
      <c r="AA181" s="21">
        <f t="shared" si="1"/>
      </c>
      <c r="AB181" s="22">
        <v>0</v>
      </c>
      <c r="AC181" s="23">
        <f>MIN(3, SUMPRODUCT((MOD('Streak'!C181:Z181,5)=0)*(MOD('Streak'!C181:Z181,10)&lt;&gt;0)*('Streak'!C181:Z181&gt;0))) * 5</f>
      </c>
      <c r="AD181" s="23">
        <f>MIN(2, SUMPRODUCT((MOD('Streak'!C181:Z181,10)=0)*('Streak'!C181:Z181&gt;0))) * 20</f>
      </c>
      <c r="AE181" s="24">
        <f t="shared" si="2"/>
      </c>
    </row>
    <row customHeight="true" ht="18" r="182">
      <c r="A182" s="17">
        <f t="shared" si="0"/>
      </c>
      <c r="B182" s="27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5">
        <v>0</v>
      </c>
      <c r="AA182" s="21">
        <f t="shared" si="1"/>
      </c>
      <c r="AB182" s="22">
        <v>0</v>
      </c>
      <c r="AC182" s="23">
        <f>MIN(3, SUMPRODUCT((MOD('Streak'!C182:Z182,5)=0)*(MOD('Streak'!C182:Z182,10)&lt;&gt;0)*('Streak'!C182:Z182&gt;0))) * 5</f>
      </c>
      <c r="AD182" s="23">
        <f>MIN(2, SUMPRODUCT((MOD('Streak'!C182:Z182,10)=0)*('Streak'!C182:Z182&gt;0))) * 20</f>
      </c>
      <c r="AE182" s="24">
        <f t="shared" si="2"/>
      </c>
    </row>
    <row customHeight="true" ht="18" r="183">
      <c r="A183" s="17">
        <f t="shared" si="0"/>
      </c>
      <c r="B183" s="27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5">
        <v>0</v>
      </c>
      <c r="AA183" s="21">
        <f t="shared" si="1"/>
      </c>
      <c r="AB183" s="22">
        <v>0</v>
      </c>
      <c r="AC183" s="23">
        <f>MIN(3, SUMPRODUCT((MOD('Streak'!C183:Z183,5)=0)*(MOD('Streak'!C183:Z183,10)&lt;&gt;0)*('Streak'!C183:Z183&gt;0))) * 5</f>
      </c>
      <c r="AD183" s="23">
        <f>MIN(2, SUMPRODUCT((MOD('Streak'!C183:Z183,10)=0)*('Streak'!C183:Z183&gt;0))) * 20</f>
      </c>
      <c r="AE183" s="24">
        <f t="shared" si="2"/>
      </c>
    </row>
    <row customHeight="true" ht="18" r="184">
      <c r="A184" s="17">
        <f t="shared" si="0"/>
      </c>
      <c r="B184" s="27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5">
        <v>0</v>
      </c>
      <c r="AA184" s="21">
        <f t="shared" si="1"/>
      </c>
      <c r="AB184" s="22">
        <v>0</v>
      </c>
      <c r="AC184" s="23">
        <f>MIN(3, SUMPRODUCT((MOD('Streak'!C184:Z184,5)=0)*(MOD('Streak'!C184:Z184,10)&lt;&gt;0)*('Streak'!C184:Z184&gt;0))) * 5</f>
      </c>
      <c r="AD184" s="23">
        <f>MIN(2, SUMPRODUCT((MOD('Streak'!C184:Z184,10)=0)*('Streak'!C184:Z184&gt;0))) * 20</f>
      </c>
      <c r="AE184" s="24">
        <f t="shared" si="2"/>
      </c>
    </row>
    <row customHeight="true" ht="18" r="185">
      <c r="A185" s="17">
        <f t="shared" si="0"/>
      </c>
      <c r="B185" s="27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5">
        <v>0</v>
      </c>
      <c r="AA185" s="21">
        <f t="shared" si="1"/>
      </c>
      <c r="AB185" s="22">
        <v>0</v>
      </c>
      <c r="AC185" s="23">
        <f>MIN(3, SUMPRODUCT((MOD('Streak'!C185:Z185,5)=0)*(MOD('Streak'!C185:Z185,10)&lt;&gt;0)*('Streak'!C185:Z185&gt;0))) * 5</f>
      </c>
      <c r="AD185" s="23">
        <f>MIN(2, SUMPRODUCT((MOD('Streak'!C185:Z185,10)=0)*('Streak'!C185:Z185&gt;0))) * 20</f>
      </c>
      <c r="AE185" s="24">
        <f t="shared" si="2"/>
      </c>
    </row>
    <row customHeight="true" ht="18" r="186">
      <c r="A186" s="17">
        <f t="shared" si="0"/>
      </c>
      <c r="B186" s="27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5">
        <v>0</v>
      </c>
      <c r="AA186" s="21">
        <f t="shared" si="1"/>
      </c>
      <c r="AB186" s="22">
        <v>0</v>
      </c>
      <c r="AC186" s="23">
        <f>MIN(3, SUMPRODUCT((MOD('Streak'!C186:Z186,5)=0)*(MOD('Streak'!C186:Z186,10)&lt;&gt;0)*('Streak'!C186:Z186&gt;0))) * 5</f>
      </c>
      <c r="AD186" s="23">
        <f>MIN(2, SUMPRODUCT((MOD('Streak'!C186:Z186,10)=0)*('Streak'!C186:Z186&gt;0))) * 20</f>
      </c>
      <c r="AE186" s="24">
        <f t="shared" si="2"/>
      </c>
    </row>
    <row customHeight="true" ht="18" r="187">
      <c r="A187" s="17">
        <f t="shared" si="0"/>
      </c>
      <c r="B187" s="27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5">
        <v>0</v>
      </c>
      <c r="AA187" s="21">
        <f t="shared" si="1"/>
      </c>
      <c r="AB187" s="22">
        <v>0</v>
      </c>
      <c r="AC187" s="23">
        <f>MIN(3, SUMPRODUCT((MOD('Streak'!C187:Z187,5)=0)*(MOD('Streak'!C187:Z187,10)&lt;&gt;0)*('Streak'!C187:Z187&gt;0))) * 5</f>
      </c>
      <c r="AD187" s="23">
        <f>MIN(2, SUMPRODUCT((MOD('Streak'!C187:Z187,10)=0)*('Streak'!C187:Z187&gt;0))) * 20</f>
      </c>
      <c r="AE187" s="24">
        <f t="shared" si="2"/>
      </c>
    </row>
    <row customHeight="true" ht="18" r="188">
      <c r="A188" s="17">
        <f t="shared" si="0"/>
      </c>
      <c r="B188" s="27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5">
        <v>0</v>
      </c>
      <c r="AA188" s="21">
        <f t="shared" si="1"/>
      </c>
      <c r="AB188" s="22">
        <v>0</v>
      </c>
      <c r="AC188" s="23">
        <f>MIN(3, SUMPRODUCT((MOD('Streak'!C188:Z188,5)=0)*(MOD('Streak'!C188:Z188,10)&lt;&gt;0)*('Streak'!C188:Z188&gt;0))) * 5</f>
      </c>
      <c r="AD188" s="23">
        <f>MIN(2, SUMPRODUCT((MOD('Streak'!C188:Z188,10)=0)*('Streak'!C188:Z188&gt;0))) * 20</f>
      </c>
      <c r="AE188" s="24">
        <f t="shared" si="2"/>
      </c>
    </row>
    <row customHeight="true" ht="18" r="189">
      <c r="A189" s="17">
        <f t="shared" si="0"/>
      </c>
      <c r="B189" s="27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5">
        <v>0</v>
      </c>
      <c r="AA189" s="21">
        <f t="shared" si="1"/>
      </c>
      <c r="AB189" s="22">
        <v>0</v>
      </c>
      <c r="AC189" s="23">
        <f>MIN(3, SUMPRODUCT((MOD('Streak'!C189:Z189,5)=0)*(MOD('Streak'!C189:Z189,10)&lt;&gt;0)*('Streak'!C189:Z189&gt;0))) * 5</f>
      </c>
      <c r="AD189" s="23">
        <f>MIN(2, SUMPRODUCT((MOD('Streak'!C189:Z189,10)=0)*('Streak'!C189:Z189&gt;0))) * 20</f>
      </c>
      <c r="AE189" s="24">
        <f t="shared" si="2"/>
      </c>
    </row>
    <row customHeight="true" ht="18" r="190">
      <c r="A190" s="17">
        <f t="shared" si="0"/>
      </c>
      <c r="B190" s="27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5">
        <v>0</v>
      </c>
      <c r="AA190" s="21">
        <f t="shared" si="1"/>
      </c>
      <c r="AB190" s="22">
        <v>0</v>
      </c>
      <c r="AC190" s="23">
        <f>MIN(3, SUMPRODUCT((MOD('Streak'!C190:Z190,5)=0)*(MOD('Streak'!C190:Z190,10)&lt;&gt;0)*('Streak'!C190:Z190&gt;0))) * 5</f>
      </c>
      <c r="AD190" s="23">
        <f>MIN(2, SUMPRODUCT((MOD('Streak'!C190:Z190,10)=0)*('Streak'!C190:Z190&gt;0))) * 20</f>
      </c>
      <c r="AE190" s="24">
        <f t="shared" si="2"/>
      </c>
    </row>
    <row customHeight="true" ht="18" r="191">
      <c r="A191" s="17">
        <f t="shared" si="0"/>
      </c>
      <c r="B191" s="27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5">
        <v>0</v>
      </c>
      <c r="AA191" s="21">
        <f t="shared" si="1"/>
      </c>
      <c r="AB191" s="22">
        <v>0</v>
      </c>
      <c r="AC191" s="23">
        <f>MIN(3, SUMPRODUCT((MOD('Streak'!C191:Z191,5)=0)*(MOD('Streak'!C191:Z191,10)&lt;&gt;0)*('Streak'!C191:Z191&gt;0))) * 5</f>
      </c>
      <c r="AD191" s="23">
        <f>MIN(2, SUMPRODUCT((MOD('Streak'!C191:Z191,10)=0)*('Streak'!C191:Z191&gt;0))) * 20</f>
      </c>
      <c r="AE191" s="24">
        <f t="shared" si="2"/>
      </c>
    </row>
    <row customHeight="true" ht="18" r="192">
      <c r="A192" s="17">
        <f t="shared" si="0"/>
      </c>
      <c r="B192" s="27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5">
        <v>0</v>
      </c>
      <c r="AA192" s="21">
        <f t="shared" si="1"/>
      </c>
      <c r="AB192" s="22">
        <v>0</v>
      </c>
      <c r="AC192" s="23">
        <f>MIN(3, SUMPRODUCT((MOD('Streak'!C192:Z192,5)=0)*(MOD('Streak'!C192:Z192,10)&lt;&gt;0)*('Streak'!C192:Z192&gt;0))) * 5</f>
      </c>
      <c r="AD192" s="23">
        <f>MIN(2, SUMPRODUCT((MOD('Streak'!C192:Z192,10)=0)*('Streak'!C192:Z192&gt;0))) * 20</f>
      </c>
      <c r="AE192" s="24">
        <f t="shared" si="2"/>
      </c>
    </row>
    <row customHeight="true" ht="18" r="193">
      <c r="A193" s="17">
        <f t="shared" si="0"/>
      </c>
      <c r="B193" s="27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5">
        <v>0</v>
      </c>
      <c r="AA193" s="21">
        <f t="shared" si="1"/>
      </c>
      <c r="AB193" s="22">
        <v>0</v>
      </c>
      <c r="AC193" s="23">
        <f>MIN(3, SUMPRODUCT((MOD('Streak'!C193:Z193,5)=0)*(MOD('Streak'!C193:Z193,10)&lt;&gt;0)*('Streak'!C193:Z193&gt;0))) * 5</f>
      </c>
      <c r="AD193" s="23">
        <f>MIN(2, SUMPRODUCT((MOD('Streak'!C193:Z193,10)=0)*('Streak'!C193:Z193&gt;0))) * 20</f>
      </c>
      <c r="AE193" s="24">
        <f t="shared" si="2"/>
      </c>
    </row>
    <row customHeight="true" ht="18" r="194">
      <c r="A194" s="17">
        <f t="shared" si="0"/>
      </c>
      <c r="B194" s="27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5">
        <v>0</v>
      </c>
      <c r="AA194" s="21">
        <f t="shared" si="1"/>
      </c>
      <c r="AB194" s="22">
        <v>0</v>
      </c>
      <c r="AC194" s="23">
        <f>MIN(3, SUMPRODUCT((MOD('Streak'!C194:Z194,5)=0)*(MOD('Streak'!C194:Z194,10)&lt;&gt;0)*('Streak'!C194:Z194&gt;0))) * 5</f>
      </c>
      <c r="AD194" s="23">
        <f>MIN(2, SUMPRODUCT((MOD('Streak'!C194:Z194,10)=0)*('Streak'!C194:Z194&gt;0))) * 20</f>
      </c>
      <c r="AE194" s="24">
        <f t="shared" si="2"/>
      </c>
    </row>
    <row customHeight="true" ht="18" r="195">
      <c r="A195" s="17">
        <f t="shared" si="0"/>
      </c>
      <c r="B195" s="27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5">
        <v>0</v>
      </c>
      <c r="AA195" s="21">
        <f t="shared" si="1"/>
      </c>
      <c r="AB195" s="22">
        <v>0</v>
      </c>
      <c r="AC195" s="23">
        <f>MIN(3, SUMPRODUCT((MOD('Streak'!C195:Z195,5)=0)*(MOD('Streak'!C195:Z195,10)&lt;&gt;0)*('Streak'!C195:Z195&gt;0))) * 5</f>
      </c>
      <c r="AD195" s="23">
        <f>MIN(2, SUMPRODUCT((MOD('Streak'!C195:Z195,10)=0)*('Streak'!C195:Z195&gt;0))) * 20</f>
      </c>
      <c r="AE195" s="24">
        <f t="shared" si="2"/>
      </c>
    </row>
    <row customHeight="true" ht="18" r="196">
      <c r="A196" s="17">
        <f t="shared" si="0"/>
      </c>
      <c r="B196" s="27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5">
        <v>0</v>
      </c>
      <c r="AA196" s="21">
        <f t="shared" si="1"/>
      </c>
      <c r="AB196" s="22">
        <v>0</v>
      </c>
      <c r="AC196" s="23">
        <f>MIN(3, SUMPRODUCT((MOD('Streak'!C196:Z196,5)=0)*(MOD('Streak'!C196:Z196,10)&lt;&gt;0)*('Streak'!C196:Z196&gt;0))) * 5</f>
      </c>
      <c r="AD196" s="23">
        <f>MIN(2, SUMPRODUCT((MOD('Streak'!C196:Z196,10)=0)*('Streak'!C196:Z196&gt;0))) * 20</f>
      </c>
      <c r="AE196" s="24">
        <f t="shared" si="2"/>
      </c>
    </row>
    <row customHeight="true" ht="18" r="197">
      <c r="A197" s="17">
        <f t="shared" si="0"/>
      </c>
      <c r="B197" s="27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5">
        <v>0</v>
      </c>
      <c r="AA197" s="21">
        <f t="shared" si="1"/>
      </c>
      <c r="AB197" s="22">
        <v>0</v>
      </c>
      <c r="AC197" s="23">
        <f>MIN(3, SUMPRODUCT((MOD('Streak'!C197:Z197,5)=0)*(MOD('Streak'!C197:Z197,10)&lt;&gt;0)*('Streak'!C197:Z197&gt;0))) * 5</f>
      </c>
      <c r="AD197" s="23">
        <f>MIN(2, SUMPRODUCT((MOD('Streak'!C197:Z197,10)=0)*('Streak'!C197:Z197&gt;0))) * 20</f>
      </c>
      <c r="AE197" s="24">
        <f t="shared" si="2"/>
      </c>
    </row>
    <row customHeight="true" ht="18" r="198">
      <c r="A198" s="17">
        <f t="shared" si="0"/>
      </c>
      <c r="B198" s="27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5">
        <v>0</v>
      </c>
      <c r="AA198" s="21">
        <f t="shared" si="1"/>
      </c>
      <c r="AB198" s="22">
        <v>0</v>
      </c>
      <c r="AC198" s="23">
        <f>MIN(3, SUMPRODUCT((MOD('Streak'!C198:Z198,5)=0)*(MOD('Streak'!C198:Z198,10)&lt;&gt;0)*('Streak'!C198:Z198&gt;0))) * 5</f>
      </c>
      <c r="AD198" s="23">
        <f>MIN(2, SUMPRODUCT((MOD('Streak'!C198:Z198,10)=0)*('Streak'!C198:Z198&gt;0))) * 20</f>
      </c>
      <c r="AE198" s="24">
        <f t="shared" si="2"/>
      </c>
    </row>
    <row customHeight="true" ht="18" r="199">
      <c r="A199" s="17">
        <f t="shared" si="0"/>
      </c>
      <c r="B199" s="27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5">
        <v>0</v>
      </c>
      <c r="AA199" s="21">
        <f t="shared" si="1"/>
      </c>
      <c r="AB199" s="22">
        <v>0</v>
      </c>
      <c r="AC199" s="23">
        <f>MIN(3, SUMPRODUCT((MOD('Streak'!C199:Z199,5)=0)*(MOD('Streak'!C199:Z199,10)&lt;&gt;0)*('Streak'!C199:Z199&gt;0))) * 5</f>
      </c>
      <c r="AD199" s="23">
        <f>MIN(2, SUMPRODUCT((MOD('Streak'!C199:Z199,10)=0)*('Streak'!C199:Z199&gt;0))) * 20</f>
      </c>
      <c r="AE199" s="24">
        <f t="shared" si="2"/>
      </c>
    </row>
    <row customHeight="true" ht="18" r="200">
      <c r="A200" s="17">
        <f t="shared" si="0"/>
      </c>
      <c r="B200" s="27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5">
        <v>0</v>
      </c>
      <c r="AA200" s="21">
        <f t="shared" si="1"/>
      </c>
      <c r="AB200" s="22">
        <v>0</v>
      </c>
      <c r="AC200" s="23">
        <f>MIN(3, SUMPRODUCT((MOD('Streak'!C200:Z200,5)=0)*(MOD('Streak'!C200:Z200,10)&lt;&gt;0)*('Streak'!C200:Z200&gt;0))) * 5</f>
      </c>
      <c r="AD200" s="23">
        <f>MIN(2, SUMPRODUCT((MOD('Streak'!C200:Z200,10)=0)*('Streak'!C200:Z200&gt;0))) * 20</f>
      </c>
      <c r="AE200" s="24">
        <f t="shared" si="2"/>
      </c>
    </row>
    <row customHeight="true" ht="18" r="201">
      <c r="A201" s="17">
        <f t="shared" si="0"/>
      </c>
      <c r="B201" s="27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5">
        <v>0</v>
      </c>
      <c r="AA201" s="21">
        <f t="shared" si="1"/>
      </c>
      <c r="AB201" s="22">
        <v>0</v>
      </c>
      <c r="AC201" s="23">
        <f>MIN(3, SUMPRODUCT((MOD('Streak'!C201:Z201,5)=0)*(MOD('Streak'!C201:Z201,10)&lt;&gt;0)*('Streak'!C201:Z201&gt;0))) * 5</f>
      </c>
      <c r="AD201" s="23">
        <f>MIN(2, SUMPRODUCT((MOD('Streak'!C201:Z201,10)=0)*('Streak'!C201:Z201&gt;0))) * 20</f>
      </c>
      <c r="AE201" s="24">
        <f t="shared" si="2"/>
      </c>
    </row>
    <row customHeight="true" ht="18" r="202">
      <c r="A202" s="17">
        <f t="shared" si="0"/>
      </c>
      <c r="B202" s="27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5">
        <v>0</v>
      </c>
      <c r="AA202" s="21">
        <f t="shared" si="1"/>
      </c>
      <c r="AB202" s="22">
        <v>0</v>
      </c>
      <c r="AC202" s="23">
        <f>MIN(3, SUMPRODUCT((MOD('Streak'!C202:Z202,5)=0)*(MOD('Streak'!C202:Z202,10)&lt;&gt;0)*('Streak'!C202:Z202&gt;0))) * 5</f>
      </c>
      <c r="AD202" s="23">
        <f>MIN(2, SUMPRODUCT((MOD('Streak'!C202:Z202,10)=0)*('Streak'!C202:Z202&gt;0))) * 20</f>
      </c>
      <c r="AE202" s="24">
        <f t="shared" si="2"/>
      </c>
    </row>
    <row customHeight="true" ht="18" r="203">
      <c r="A203" s="17">
        <f t="shared" si="0"/>
      </c>
      <c r="B203" s="27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5">
        <v>0</v>
      </c>
      <c r="AA203" s="21">
        <f t="shared" si="1"/>
      </c>
      <c r="AB203" s="22">
        <v>0</v>
      </c>
      <c r="AC203" s="23">
        <f>MIN(3, SUMPRODUCT((MOD('Streak'!C203:Z203,5)=0)*(MOD('Streak'!C203:Z203,10)&lt;&gt;0)*('Streak'!C203:Z203&gt;0))) * 5</f>
      </c>
      <c r="AD203" s="23">
        <f>MIN(2, SUMPRODUCT((MOD('Streak'!C203:Z203,10)=0)*('Streak'!C203:Z203&gt;0))) * 20</f>
      </c>
      <c r="AE203" s="24">
        <f t="shared" si="2"/>
      </c>
    </row>
    <row customHeight="true" ht="18" r="204">
      <c r="A204" s="17">
        <f t="shared" si="0"/>
      </c>
      <c r="B204" s="27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5">
        <v>0</v>
      </c>
      <c r="AA204" s="21">
        <f t="shared" si="1"/>
      </c>
      <c r="AB204" s="22">
        <v>0</v>
      </c>
      <c r="AC204" s="23">
        <f>MIN(3, SUMPRODUCT((MOD('Streak'!C204:Z204,5)=0)*(MOD('Streak'!C204:Z204,10)&lt;&gt;0)*('Streak'!C204:Z204&gt;0))) * 5</f>
      </c>
      <c r="AD204" s="23">
        <f>MIN(2, SUMPRODUCT((MOD('Streak'!C204:Z204,10)=0)*('Streak'!C204:Z204&gt;0))) * 20</f>
      </c>
      <c r="AE204" s="24">
        <f t="shared" si="2"/>
      </c>
    </row>
    <row r="205">
      <c r="A205" s="17">
        <f t="shared" si="0"/>
      </c>
      <c r="B205" s="27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5">
        <v>0</v>
      </c>
      <c r="AA205" s="21">
        <f t="shared" si="1"/>
      </c>
      <c r="AB205" s="22">
        <v>0</v>
      </c>
      <c r="AC205" s="23">
        <f>MIN(3, SUMPRODUCT((MOD('Streak'!C205:Z205,5)=0)*(MOD('Streak'!C205:Z205,10)&lt;&gt;0)*('Streak'!C205:Z205&gt;0))) * 5</f>
      </c>
      <c r="AD205" s="23">
        <f>MIN(2, SUMPRODUCT((MOD('Streak'!C205:Z205,10)=0)*('Streak'!C205:Z205&gt;0))) * 20</f>
      </c>
      <c r="AE205" s="24">
        <f t="shared" si="2"/>
      </c>
    </row>
    <row r="206">
      <c r="A206" s="17">
        <f t="shared" si="0"/>
      </c>
      <c r="B206" s="32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5">
        <v>0</v>
      </c>
      <c r="AA206" s="21">
        <f t="shared" si="1"/>
      </c>
      <c r="AB206" s="26">
        <v>0</v>
      </c>
      <c r="AC206" s="23">
        <f>MIN(3, SUMPRODUCT((MOD('Streak'!C206:Z206,5)=0)*(MOD('Streak'!C206:Z206,10)&lt;&gt;0)*('Streak'!C206:Z206&gt;0))) * 5</f>
      </c>
      <c r="AD206" s="23">
        <f>MIN(2, SUMPRODUCT((MOD('Streak'!C206:Z206,10)=0)*('Streak'!C206:Z206&gt;0))) * 20</f>
      </c>
      <c r="AE206" s="33">
        <f t="shared" si="2"/>
      </c>
    </row>
    <row r="207">
      <c r="A207" s="17">
        <f t="shared" si="0"/>
      </c>
      <c r="B207" s="32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5">
        <v>0</v>
      </c>
      <c r="AA207" s="21">
        <f t="shared" si="1"/>
      </c>
      <c r="AB207" s="26">
        <v>0</v>
      </c>
      <c r="AC207" s="23">
        <f>MIN(3, SUMPRODUCT((MOD('Streak'!C207:Z207,5)=0)*(MOD('Streak'!C207:Z207,10)&lt;&gt;0)*('Streak'!C207:Z207&gt;0))) * 5</f>
      </c>
      <c r="AD207" s="23">
        <f>MIN(2, SUMPRODUCT((MOD('Streak'!C207:Z207,10)=0)*('Streak'!C207:Z207&gt;0))) * 20</f>
      </c>
      <c r="AE207" s="33">
        <f t="shared" si="2"/>
      </c>
    </row>
    <row r="208">
      <c r="A208" s="17">
        <f t="shared" si="0"/>
      </c>
      <c r="B208" s="32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5">
        <v>0</v>
      </c>
      <c r="AA208" s="21">
        <f t="shared" si="1"/>
      </c>
      <c r="AB208" s="26">
        <v>0</v>
      </c>
      <c r="AC208" s="23">
        <f>MIN(3, SUMPRODUCT((MOD('Streak'!C208:Z208,5)=0)*(MOD('Streak'!C208:Z208,10)&lt;&gt;0)*('Streak'!C208:Z208&gt;0))) * 5</f>
      </c>
      <c r="AD208" s="23">
        <f>MIN(2, SUMPRODUCT((MOD('Streak'!C208:Z208,10)=0)*('Streak'!C208:Z208&gt;0))) * 20</f>
      </c>
      <c r="AE208" s="33">
        <f t="shared" si="2"/>
      </c>
    </row>
    <row r="209">
      <c r="A209" s="17">
        <f t="shared" si="0"/>
      </c>
      <c r="B209" s="32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5">
        <v>0</v>
      </c>
      <c r="AA209" s="21">
        <f t="shared" si="1"/>
      </c>
      <c r="AB209" s="26">
        <v>0</v>
      </c>
      <c r="AC209" s="23">
        <f>MIN(3, SUMPRODUCT((MOD('Streak'!C209:Z209,5)=0)*(MOD('Streak'!C209:Z209,10)&lt;&gt;0)*('Streak'!C209:Z209&gt;0))) * 5</f>
      </c>
      <c r="AD209" s="23">
        <f>MIN(2, SUMPRODUCT((MOD('Streak'!C209:Z209,10)=0)*('Streak'!C209:Z209&gt;0))) * 20</f>
      </c>
      <c r="AE209" s="33">
        <f t="shared" si="2"/>
      </c>
    </row>
    <row r="210">
      <c r="A210" s="17">
        <f t="shared" si="0"/>
      </c>
      <c r="B210" s="32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5">
        <v>0</v>
      </c>
      <c r="AA210" s="21">
        <f t="shared" si="1"/>
      </c>
      <c r="AB210" s="26">
        <v>0</v>
      </c>
      <c r="AC210" s="23">
        <f>MIN(3, SUMPRODUCT((MOD('Streak'!C210:Z210,5)=0)*(MOD('Streak'!C210:Z210,10)&lt;&gt;0)*('Streak'!C210:Z210&gt;0))) * 5</f>
      </c>
      <c r="AD210" s="23">
        <f>MIN(2, SUMPRODUCT((MOD('Streak'!C210:Z210,10)=0)*('Streak'!C210:Z210&gt;0))) * 20</f>
      </c>
      <c r="AE210" s="33">
        <f t="shared" si="2"/>
      </c>
    </row>
    <row r="211">
      <c r="A211" s="17">
        <f t="shared" si="0"/>
      </c>
      <c r="B211" s="32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5">
        <v>0</v>
      </c>
      <c r="AA211" s="21">
        <f t="shared" si="1"/>
      </c>
      <c r="AB211" s="26">
        <v>0</v>
      </c>
      <c r="AC211" s="23">
        <f>MIN(3, SUMPRODUCT((MOD('Streak'!C211:Z211,5)=0)*(MOD('Streak'!C211:Z211,10)&lt;&gt;0)*('Streak'!C211:Z211&gt;0))) * 5</f>
      </c>
      <c r="AD211" s="23">
        <f>MIN(2, SUMPRODUCT((MOD('Streak'!C211:Z211,10)=0)*('Streak'!C211:Z211&gt;0))) * 20</f>
      </c>
      <c r="AE211" s="33">
        <f t="shared" si="2"/>
      </c>
    </row>
    <row r="212">
      <c r="A212" s="17">
        <f t="shared" si="0"/>
      </c>
      <c r="B212" s="32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5">
        <v>0</v>
      </c>
      <c r="AA212" s="21">
        <f t="shared" si="1"/>
      </c>
      <c r="AB212" s="26">
        <v>0</v>
      </c>
      <c r="AC212" s="23">
        <f>MIN(3, SUMPRODUCT((MOD('Streak'!C212:Z212,5)=0)*(MOD('Streak'!C212:Z212,10)&lt;&gt;0)*('Streak'!C212:Z212&gt;0))) * 5</f>
      </c>
      <c r="AD212" s="23">
        <f>MIN(2, SUMPRODUCT((MOD('Streak'!C212:Z212,10)=0)*('Streak'!C212:Z212&gt;0))) * 20</f>
      </c>
      <c r="AE212" s="33">
        <f t="shared" si="2"/>
      </c>
    </row>
    <row r="213">
      <c r="A213" s="17">
        <f t="shared" si="0"/>
      </c>
      <c r="B213" s="32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5">
        <v>0</v>
      </c>
      <c r="AA213" s="21">
        <f t="shared" si="1"/>
      </c>
      <c r="AB213" s="26">
        <v>0</v>
      </c>
      <c r="AC213" s="23">
        <f>MIN(3, SUMPRODUCT((MOD('Streak'!C213:Z213,5)=0)*(MOD('Streak'!C213:Z213,10)&lt;&gt;0)*('Streak'!C213:Z213&gt;0))) * 5</f>
      </c>
      <c r="AD213" s="23">
        <f>MIN(2, SUMPRODUCT((MOD('Streak'!C213:Z213,10)=0)*('Streak'!C213:Z213&gt;0))) * 20</f>
      </c>
      <c r="AE213" s="33">
        <f t="shared" si="2"/>
      </c>
    </row>
    <row r="214">
      <c r="A214" s="17">
        <f t="shared" si="0"/>
      </c>
      <c r="B214" s="32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5">
        <v>0</v>
      </c>
      <c r="AA214" s="21">
        <f t="shared" si="1"/>
      </c>
      <c r="AB214" s="26">
        <v>0</v>
      </c>
      <c r="AC214" s="23">
        <f>MIN(3, SUMPRODUCT((MOD('Streak'!C214:Z214,5)=0)*(MOD('Streak'!C214:Z214,10)&lt;&gt;0)*('Streak'!C214:Z214&gt;0))) * 5</f>
      </c>
      <c r="AD214" s="23">
        <f>MIN(2, SUMPRODUCT((MOD('Streak'!C214:Z214,10)=0)*('Streak'!C214:Z214&gt;0))) * 20</f>
      </c>
      <c r="AE214" s="33">
        <f t="shared" si="2"/>
      </c>
    </row>
    <row r="215">
      <c r="A215" s="17">
        <f t="shared" si="0"/>
      </c>
      <c r="B215" s="32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5">
        <v>0</v>
      </c>
      <c r="AA215" s="21">
        <f t="shared" si="1"/>
      </c>
      <c r="AB215" s="26">
        <v>0</v>
      </c>
      <c r="AC215" s="23">
        <f>MIN(3, SUMPRODUCT((MOD('Streak'!C215:Z215,5)=0)*(MOD('Streak'!C215:Z215,10)&lt;&gt;0)*('Streak'!C215:Z215&gt;0))) * 5</f>
      </c>
      <c r="AD215" s="23">
        <f>MIN(2, SUMPRODUCT((MOD('Streak'!C215:Z215,10)=0)*('Streak'!C215:Z215&gt;0))) * 20</f>
      </c>
      <c r="AE215" s="33">
        <f t="shared" si="2"/>
      </c>
    </row>
    <row r="216">
      <c r="A216" s="17">
        <f t="shared" si="0"/>
      </c>
      <c r="B216" s="32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5">
        <v>0</v>
      </c>
      <c r="AA216" s="21">
        <f t="shared" si="1"/>
      </c>
      <c r="AB216" s="26">
        <v>0</v>
      </c>
      <c r="AC216" s="23">
        <f>MIN(3, SUMPRODUCT((MOD('Streak'!C216:Z216,5)=0)*(MOD('Streak'!C216:Z216,10)&lt;&gt;0)*('Streak'!C216:Z216&gt;0))) * 5</f>
      </c>
      <c r="AD216" s="23">
        <f>MIN(2, SUMPRODUCT((MOD('Streak'!C216:Z216,10)=0)*('Streak'!C216:Z216&gt;0))) * 20</f>
      </c>
      <c r="AE216" s="33">
        <f t="shared" si="2"/>
      </c>
    </row>
    <row r="217">
      <c r="A217" s="17">
        <f t="shared" si="0"/>
      </c>
      <c r="B217" s="32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5">
        <v>0</v>
      </c>
      <c r="AA217" s="21">
        <f t="shared" si="1"/>
      </c>
      <c r="AB217" s="26">
        <v>0</v>
      </c>
      <c r="AC217" s="23">
        <f>MIN(3, SUMPRODUCT((MOD('Streak'!C217:Z217,5)=0)*(MOD('Streak'!C217:Z217,10)&lt;&gt;0)*('Streak'!C217:Z217&gt;0))) * 5</f>
      </c>
      <c r="AD217" s="23">
        <f>MIN(2, SUMPRODUCT((MOD('Streak'!C217:Z217,10)=0)*('Streak'!C217:Z217&gt;0))) * 20</f>
      </c>
      <c r="AE217" s="33">
        <f t="shared" si="2"/>
      </c>
    </row>
    <row r="218">
      <c r="A218" s="17">
        <f t="shared" si="0"/>
      </c>
      <c r="B218" s="32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5">
        <v>0</v>
      </c>
      <c r="AA218" s="21">
        <f t="shared" si="1"/>
      </c>
      <c r="AB218" s="26">
        <v>0</v>
      </c>
      <c r="AC218" s="23">
        <f>MIN(3, SUMPRODUCT((MOD('Streak'!C218:Z218,5)=0)*(MOD('Streak'!C218:Z218,10)&lt;&gt;0)*('Streak'!C218:Z218&gt;0))) * 5</f>
      </c>
      <c r="AD218" s="23">
        <f>MIN(2, SUMPRODUCT((MOD('Streak'!C218:Z218,10)=0)*('Streak'!C218:Z218&gt;0))) * 20</f>
      </c>
      <c r="AE218" s="33">
        <f t="shared" si="2"/>
      </c>
    </row>
    <row r="219">
      <c r="A219" s="17">
        <f t="shared" si="0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0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0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0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0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0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0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0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0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0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0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0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0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0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0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0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0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0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0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0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0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0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0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0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0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0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0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0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0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0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0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0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0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0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0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0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0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0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0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0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0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0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0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0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0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0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0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0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0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0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0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0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0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0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0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0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0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0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0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0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0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0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0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0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0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0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0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0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0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0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0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0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0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0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0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0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0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0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0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0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0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0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0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0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0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0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0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0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0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0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0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0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0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0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0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0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0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0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0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0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0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0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0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0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0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0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0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0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0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0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0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0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0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0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0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0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0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0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0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0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0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0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0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0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0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0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0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0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0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0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0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0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0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0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0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0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0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0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0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0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0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0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0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0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0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0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0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0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0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0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0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0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0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0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0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0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0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0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0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0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0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0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0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0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0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0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0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0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0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0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0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0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0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0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0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0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0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0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0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0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0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0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0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0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0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0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0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0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0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0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0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0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0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0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0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0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0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0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0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0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0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0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0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0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0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0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0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0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0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0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0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0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0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0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0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0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0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0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0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0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0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0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0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0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0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0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0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0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0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0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0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0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0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0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0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0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0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0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0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0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0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0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0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0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0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0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0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0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0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0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0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0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0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0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0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0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0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0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0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0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0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0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0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0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0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0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0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0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0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0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0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0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0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0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0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0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0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0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0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0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0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0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0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0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0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0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0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0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0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0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0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0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0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0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0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0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0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0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0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0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0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0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0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0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0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0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0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0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0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0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0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0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0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0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0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0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0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0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0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0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0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0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0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0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0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0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0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0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0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0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0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0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0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0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0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0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0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0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0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0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0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0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0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0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0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0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0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0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0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0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0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0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0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0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0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0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0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0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0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0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0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0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0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0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0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0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0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0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0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0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0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0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0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0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0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0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0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0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0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0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0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0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0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0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0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0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0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0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0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0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0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0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0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0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0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0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0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0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0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0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0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0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0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0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0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0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0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0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0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0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0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0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0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0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0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0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0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0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0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0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0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0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0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0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0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0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0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0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0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0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0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0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0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0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0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0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0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0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0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0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0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0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0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0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0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0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0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0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0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0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0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0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0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0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0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0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0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0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0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0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0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0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0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0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0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0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0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0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0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0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0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0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0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0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0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0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0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0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0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0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0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0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0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0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0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0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0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0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0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0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0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0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0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0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0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0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0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0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0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0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0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0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0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0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0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0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0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0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0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0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0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0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0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0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0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0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0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0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0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0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0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0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0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0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0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0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0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0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0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0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0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0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0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0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0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0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0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0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0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0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0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0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0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0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0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0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0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0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0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0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0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0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0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0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0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0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0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0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0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0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0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0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0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0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0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0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0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0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0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0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0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0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0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0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0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0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0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0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0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0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0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0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0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0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0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0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0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0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0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0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0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0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0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0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0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0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0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0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0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0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0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0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0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0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0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0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0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0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0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0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0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0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0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0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0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0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0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0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0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0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0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0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0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0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0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0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0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0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0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0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0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0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0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0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0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0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0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0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0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0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0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0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0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0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0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0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0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0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0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0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0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0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0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0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0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0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0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0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0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0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0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0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0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0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0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0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0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0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0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0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0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0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0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0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0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0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0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0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0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0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0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0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0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0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0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0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0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0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0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0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0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0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0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0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0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0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0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0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0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0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0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0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0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0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0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0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0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0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0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0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0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0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0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0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0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0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0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0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0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0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0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0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0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0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0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0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0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0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0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0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0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0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0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0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0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0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0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0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0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0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0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0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0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0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0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0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0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0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0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0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0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0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0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0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0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0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0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0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0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0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0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0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0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0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0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0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0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0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0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0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0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0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0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0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0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0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0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0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0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0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0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0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0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0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0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0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0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0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0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0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0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0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0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0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0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0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0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0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0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0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0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0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0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0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0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0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0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0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0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0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0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0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0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0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0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0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0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0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0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0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0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0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0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0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0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0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0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0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0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0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0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0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0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0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0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0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0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0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0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0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0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0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0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0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0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0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0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0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0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0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0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0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0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0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0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0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0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0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0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0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0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0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0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0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0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0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0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0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0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0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0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0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0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0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0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0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0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0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0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0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0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0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0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0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0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0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0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0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0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0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0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0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0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0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0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0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0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0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0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0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0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0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0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0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0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0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0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0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0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0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0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0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0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0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0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0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0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0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0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0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0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0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0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0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0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0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0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0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0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0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0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0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0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0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0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0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0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0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0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0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0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0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0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0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0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0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0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29" min="29" style="0" width="12"/>
    <col collapsed="false" customWidth="true" hidden="false" max="5" min="5" style="0" width="4"/>
    <col collapsed="false" customWidth="true" hidden="false" max="13" min="13" style="0" width="5"/>
    <col collapsed="false" customWidth="true" hidden="false" max="21" min="21" style="0" width="5"/>
    <col collapsed="false" customWidth="true" hidden="false" max="32" min="32" style="0" width="12"/>
    <col collapsed="false" customWidth="true" hidden="false" max="8" min="8" style="0" width="4"/>
    <col collapsed="false" customWidth="true" hidden="false" max="16" min="16" style="0" width="5"/>
    <col collapsed="false" customWidth="true" hidden="false" max="24" min="24" style="0" width="5"/>
    <col collapsed="false" customWidth="true" hidden="false" max="31" min="31" style="0" width="12"/>
    <col collapsed="false" customWidth="true" hidden="false" max="7" min="7" style="0" width="4"/>
    <col collapsed="false" customWidth="true" hidden="false" max="15" min="15" style="0" width="5"/>
    <col collapsed="false" customWidth="true" hidden="false" max="23" min="23" style="0" width="5"/>
    <col collapsed="false" customWidth="true" hidden="false" max="26" min="26" style="0" width="4"/>
    <col collapsed="false" customWidth="true" hidden="false" max="2" min="2" style="0" width="18"/>
    <col collapsed="false" customWidth="true" hidden="false" max="10" min="10" style="0" width="5"/>
    <col collapsed="false" customWidth="true" hidden="false" max="18" min="18" style="0" width="5"/>
    <col collapsed="false" customWidth="true" hidden="false" max="25" min="25" style="0" width="4"/>
    <col collapsed="false" customWidth="true" hidden="false" max="1" min="1" style="0" width="5"/>
    <col collapsed="false" customWidth="true" hidden="false" max="9" min="9" style="0" width="4"/>
    <col collapsed="false" customWidth="true" hidden="false" max="17" min="17" style="0" width="5"/>
    <col collapsed="false" customWidth="true" hidden="false" max="28" min="28" style="0" width="12"/>
    <col collapsed="false" customWidth="true" hidden="false" max="4" min="4" style="0" width="4"/>
    <col collapsed="false" customWidth="true" hidden="false" max="12" min="12" style="0" width="5"/>
    <col collapsed="false" customWidth="true" hidden="false" max="20" min="20" style="0" width="5"/>
    <col collapsed="false" customWidth="true" hidden="false" max="27" min="27" style="0" width="6"/>
    <col collapsed="false" customWidth="true" hidden="false" max="3" min="3" style="0" width="5"/>
    <col collapsed="false" customWidth="true" hidden="false" max="11" min="11" style="0" width="5"/>
    <col collapsed="false" customWidth="true" hidden="false" max="19" min="19" style="0" width="5"/>
    <col collapsed="false" customWidth="true" hidden="false" max="30" min="30" style="0" width="12"/>
    <col collapsed="false" customWidth="true" hidden="false" max="6" min="6" style="0" width="4"/>
    <col collapsed="false" customWidth="true" hidden="false" max="14" min="14" style="0" width="5"/>
    <col collapsed="false" customWidth="true" hidden="false" max="22" min="22" style="0" width="5"/>
  </cols>
  <sheetData>
    <row r="1">
      <c r="A1" s="34" t="s">
        <v>155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156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157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158</v>
      </c>
      <c r="B4" s="43" t="s">
        <v>159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