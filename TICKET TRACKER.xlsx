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<sst xmlns="http://schemas.openxmlformats.org/spreadsheetml/2006/main" count="1" uniqueCount="1">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</sst>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true" applyProtection="false" borderId="2" fillId="2" fontId="2" numFmtId="164" xfId="0">
      <alignment horizontal="center" vertical="center" wrapText="true"/>
    </xf>
    <xf applyAlignment="true" applyBorder="false" applyFill="true" applyFont="true" applyNumberFormat="false" applyProtection="false" borderId="3" fillId="3" fontId="2" numFmtId="0" xfId="0">
      <alignment horizontal="center" vertical="center" wrapText="true"/>
    </xf>
    <xf applyAlignment="true" applyBorder="false" applyFill="true" applyFont="true" applyNumberFormat="false" applyProtection="false" borderId="4" fillId="4" fontId="3" numFmtId="0" xfId="0">
      <alignment horizontal="center" vertical="center" wrapText="true"/>
    </xf>
    <xf applyAlignment="true" applyBorder="false" applyFill="true" applyFont="true" applyNumberFormat="false" applyProtection="false" borderId="5" fillId="5" fontId="3" numFmtId="0" xfId="0">
      <alignment horizontal="center" vertical="center" wrapText="true"/>
    </xf>
    <xf applyAlignment="true" applyBorder="false" applyFill="true" applyFont="true" applyNumberFormat="false" applyProtection="false" borderId="6" fillId="6" fontId="3" numFmtId="0" xfId="0">
      <alignment horizontal="center" vertical="center" wrapText="true"/>
    </xf>
    <xf applyAlignment="true" applyBorder="false" applyFill="true" applyFont="true" applyNumberFormat="false" applyProtection="false" borderId="7" fillId="7" fontId="2" numFmtId="0" xfId="0">
      <alignment horizontal="center" vertical="center" wrapText="true"/>
    </xf>
    <xf applyAlignment="true" applyBorder="false" applyFill="true" applyFont="true" applyNumberFormat="false" applyProtection="false" borderId="8" fillId="8" fontId="4" numFmtId="0" xfId="0">
      <alignment horizontal="left" vertical="center" wrapText="true"/>
    </xf>
    <xf applyAlignment="true" applyBorder="false" applyFill="true" applyFont="true" applyNumberFormat="false" applyProtection="false" borderId="9" fillId="9" fontId="5" numFmtId="0" xfId="0">
      <alignment horizontal="center" vertical="center" wrapText="true"/>
    </xf>
    <xf applyAlignment="true" applyBorder="false" applyFill="true" applyFont="true" applyNumberFormat="false" applyProtection="false" borderId="10" fillId="10" fontId="6" numFmtId="0" xfId="0">
      <alignment horizontal="center" vertical="center" wrapText="true"/>
    </xf>
    <xf applyAlignment="true" applyBorder="false" applyFill="true" applyFont="true" applyNumberFormat="false" applyProtection="false" borderId="11" fillId="11" fontId="7" numFmtId="0" xfId="0">
      <alignment horizontal="center" vertical="center" wrapText="true"/>
    </xf>
    <xf applyAlignment="true" applyBorder="false" applyFill="true" applyFont="true" applyNumberFormat="false" applyProtection="false" borderId="12" fillId="12" fontId="8" numFmtId="0" xfId="0">
      <alignment horizontal="center" vertical="center" wrapText="true"/>
    </xf>
    <xf applyAlignment="true" applyBorder="false" applyFill="true" applyFont="true" applyNumberFormat="false" applyProtection="false" borderId="13" fillId="13" fontId="9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/>
    </xf>
    <xf applyAlignment="true" applyBorder="false" applyFill="true" applyFont="true" applyNumberFormat="false" applyProtection="false" borderId="16" fillId="16" fontId="12" numFmtId="0" xfId="0">
      <alignment vertical="center"/>
    </xf>
    <xf applyAlignment="true" applyBorder="false" applyFill="true" applyFont="true" applyNumberFormat="false" applyProtection="false" borderId="17" fillId="17" fontId="11" numFmtId="0" xfId="0">
      <alignment vertical="center"/>
    </xf>
    <xf applyAlignment="true" applyBorder="false" applyFill="true" applyFont="true" applyNumberFormat="false" applyProtection="false" borderId="18" fillId="18" fontId="5" numFmtId="0" xfId="0">
      <alignment horizontal="center" vertical="center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6" numFmtId="0" xfId="0">
      <alignment horizontal="left" vertical="bottom" wrapText="true"/>
    </xf>
    <xf applyAlignment="true" applyBorder="false" applyFill="true" applyFont="true" applyNumberFormat="false" applyProtection="false" borderId="21" fillId="21" fontId="3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2" numFmtId="0" xfId="0">
      <alignment horizontal="center" vertical="center" wrapText="true"/>
    </xf>
    <xf applyAlignment="true" applyBorder="false" applyFill="true" applyFont="true" applyNumberFormat="false" applyProtection="false" borderId="24" fillId="24" fontId="2" numFmtId="0" xfId="0">
      <alignment horizontal="center" vertical="center" wrapText="true"/>
    </xf>
    <xf applyAlignment="true" applyBorder="false" applyFill="true" applyFont="true" applyNumberFormat="false" applyProtection="false" borderId="25" fillId="25" fontId="4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1" numFmtId="0" xfId="0">
      <alignment horizontal="center" vertical="center"/>
    </xf>
    <xf applyAlignment="true" applyBorder="false" applyFill="true" applyFont="true" applyNumberFormat="false" applyProtection="false" borderId="28" fillId="28" fontId="4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16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6" t="str">
        <v>MEMBER</v>
      </c>
      <c r="B2" s="6"/>
      <c r="C2" s="2">
        <v>46111</v>
      </c>
      <c r="D2" s="2">
        <v>46112</v>
      </c>
      <c r="E2" s="2">
        <v>46113</v>
      </c>
      <c r="F2" s="2">
        <v>46114</v>
      </c>
      <c r="G2" s="2">
        <v>46115</v>
      </c>
      <c r="H2" s="2">
        <v>46118</v>
      </c>
      <c r="I2" s="2">
        <v>46119</v>
      </c>
      <c r="J2" s="2">
        <v>46120</v>
      </c>
      <c r="K2" s="2">
        <v>46121</v>
      </c>
      <c r="L2" s="2">
        <v>46122</v>
      </c>
      <c r="M2" s="2">
        <v>46125</v>
      </c>
      <c r="N2" s="2">
        <v>46126</v>
      </c>
      <c r="O2" s="2">
        <v>46127</v>
      </c>
      <c r="P2" s="2">
        <v>46128</v>
      </c>
      <c r="Q2" s="2">
        <v>46129</v>
      </c>
      <c r="R2" s="2">
        <v>46132</v>
      </c>
      <c r="S2" s="2">
        <v>46133</v>
      </c>
      <c r="T2" s="2">
        <v>46134</v>
      </c>
      <c r="U2" s="2">
        <v>46135</v>
      </c>
      <c r="V2" s="2">
        <v>46136</v>
      </c>
      <c r="W2" s="2">
        <v>46139</v>
      </c>
      <c r="X2" s="2">
        <v>46140</v>
      </c>
      <c r="Y2" s="2">
        <v>46141</v>
      </c>
      <c r="Z2" s="2">
        <v>46142</v>
      </c>
      <c r="AA2" s="5" t="str">
        <v>Total
Tiket</v>
      </c>
      <c r="AB2" s="4" t="str">
        <v>Streak
(manual)</v>
      </c>
      <c r="AC2" s="3" t="str">
        <v>x5 Streak
Bonus</v>
      </c>
      <c r="AD2" s="3" t="str">
        <v>x10 Streak
Bonus</v>
      </c>
      <c r="AE2" s="7" t="str">
        <v>Total
Bonus</v>
      </c>
    </row>
    <row r="3">
      <c r="A3" s="6"/>
      <c r="B3" s="6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3"/>
      <c r="AB3" s="24"/>
      <c r="AC3" s="3"/>
      <c r="AD3" s="3"/>
      <c r="AE3" s="7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0">
        <v>1</v>
      </c>
      <c r="B5" s="8" t="str">
        <v>Radensaleh</v>
      </c>
      <c r="C5" s="9">
        <v>1</v>
      </c>
      <c r="D5" s="9">
        <v>1</v>
      </c>
      <c r="E5" s="9">
        <v>1</v>
      </c>
      <c r="F5" s="9">
        <v>1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1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14">
        <f>(SUM(C5:Z5))+AE5</f>
      </c>
      <c r="AB5" s="13">
        <v>0</v>
      </c>
      <c r="AC5" s="12">
        <f>MIN(3, SUMPRODUCT((MOD(Streak!C5:Z5,5)=0)*(MOD(Streak!C5:Z5,10)&lt;&gt;0)*(Streak!C5:Z5&gt;0))) * 5</f>
      </c>
      <c r="AD5" s="12">
        <f>MIN(2, SUMPRODUCT((MOD(Streak!C5:Z5,10)=0)*(Streak!C5:Z5&gt;0))) * 20</f>
      </c>
      <c r="AE5" s="11">
        <f>SUM(AC5:AD5)</f>
      </c>
    </row>
    <row r="6">
      <c r="A6" s="10">
        <v>2</v>
      </c>
      <c r="B6" s="8" t="str">
        <v>Chepot</v>
      </c>
      <c r="C6" s="9">
        <v>1</v>
      </c>
      <c r="D6" s="9">
        <v>0</v>
      </c>
      <c r="E6" s="9">
        <v>1</v>
      </c>
      <c r="F6" s="9">
        <v>0</v>
      </c>
      <c r="G6" s="9">
        <v>1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14">
        <f>(SUM(C6:Z6))+AE6</f>
      </c>
      <c r="AB6" s="13">
        <v>0</v>
      </c>
      <c r="AC6" s="12">
        <f>MIN(3, SUMPRODUCT((MOD(Streak!C6:Z6,5)=0)*(MOD(Streak!C6:Z6,10)&lt;&gt;0)*(Streak!C6:Z6&gt;0))) * 5</f>
      </c>
      <c r="AD6" s="12">
        <f>MIN(2, SUMPRODUCT((MOD(Streak!C6:Z6,10)=0)*(Streak!C6:Z6&gt;0))) * 20</f>
      </c>
      <c r="AE6" s="11">
        <f>SUM(AC6:AD6)</f>
      </c>
    </row>
    <row r="7">
      <c r="A7" s="10">
        <v>3</v>
      </c>
      <c r="B7" s="8" t="str">
        <v>irvin_1548314</v>
      </c>
      <c r="C7" s="9">
        <v>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9">
        <v>1</v>
      </c>
      <c r="O7" s="9">
        <v>1</v>
      </c>
      <c r="P7" s="9">
        <v>1</v>
      </c>
      <c r="Q7" s="9">
        <v>1</v>
      </c>
      <c r="R7" s="9">
        <v>1</v>
      </c>
      <c r="S7" s="9">
        <v>1</v>
      </c>
      <c r="T7" s="9">
        <v>1</v>
      </c>
      <c r="U7" s="9">
        <v>1</v>
      </c>
      <c r="V7" s="9">
        <v>1</v>
      </c>
      <c r="W7" s="9">
        <v>0</v>
      </c>
      <c r="X7" s="9">
        <v>0</v>
      </c>
      <c r="Y7" s="9">
        <v>0</v>
      </c>
      <c r="Z7" s="9">
        <v>0</v>
      </c>
      <c r="AA7" s="14">
        <f>(SUM(C7:Z7))+AE7</f>
      </c>
      <c r="AB7" s="13">
        <v>0</v>
      </c>
      <c r="AC7" s="12">
        <f>MIN(3, SUMPRODUCT((MOD(Streak!C7:Z7,5)=0)*(MOD(Streak!C7:Z7,10)&lt;&gt;0)*(Streak!C7:Z7&gt;0))) * 5</f>
      </c>
      <c r="AD7" s="12">
        <f>MIN(2, SUMPRODUCT((MOD(Streak!C7:Z7,10)=0)*(Streak!C7:Z7&gt;0))) * 20</f>
      </c>
      <c r="AE7" s="11">
        <f>SUM(AC7:AD7)</f>
      </c>
    </row>
    <row r="8">
      <c r="A8" s="10">
        <v>4</v>
      </c>
      <c r="B8" s="8" t="str">
        <v>efrio</v>
      </c>
      <c r="C8" s="9">
        <v>1</v>
      </c>
      <c r="D8" s="9">
        <v>1</v>
      </c>
      <c r="E8" s="9">
        <v>1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0</v>
      </c>
      <c r="X8" s="9">
        <v>0</v>
      </c>
      <c r="Y8" s="9">
        <v>0</v>
      </c>
      <c r="Z8" s="9">
        <v>0</v>
      </c>
      <c r="AA8" s="14">
        <f>(SUM(C8:Z8))+AE8</f>
      </c>
      <c r="AB8" s="13">
        <v>0</v>
      </c>
      <c r="AC8" s="12">
        <f>MIN(3, SUMPRODUCT((MOD(Streak!C8:Z8,5)=0)*(MOD(Streak!C8:Z8,10)&lt;&gt;0)*(Streak!C8:Z8&gt;0))) * 5</f>
      </c>
      <c r="AD8" s="12">
        <f>MIN(2, SUMPRODUCT((MOD(Streak!C8:Z8,10)=0)*(Streak!C8:Z8&gt;0))) * 20</f>
      </c>
      <c r="AE8" s="11">
        <f>SUM(AC8:AD8)</f>
      </c>
    </row>
    <row r="9">
      <c r="A9" s="10">
        <v>5</v>
      </c>
      <c r="B9" s="8" t="str">
        <v>yupid</v>
      </c>
      <c r="C9" s="9">
        <v>1</v>
      </c>
      <c r="D9" s="9">
        <v>1</v>
      </c>
      <c r="E9" s="9">
        <v>1</v>
      </c>
      <c r="F9" s="9">
        <v>1</v>
      </c>
      <c r="G9" s="9">
        <v>1</v>
      </c>
      <c r="H9" s="9">
        <v>1</v>
      </c>
      <c r="I9" s="9">
        <v>1</v>
      </c>
      <c r="J9" s="9">
        <v>1</v>
      </c>
      <c r="K9" s="9">
        <v>1</v>
      </c>
      <c r="L9" s="9">
        <v>1</v>
      </c>
      <c r="M9" s="9">
        <v>1</v>
      </c>
      <c r="N9" s="9">
        <v>0</v>
      </c>
      <c r="O9" s="9">
        <v>1</v>
      </c>
      <c r="P9" s="9">
        <v>1</v>
      </c>
      <c r="Q9" s="9">
        <v>1</v>
      </c>
      <c r="R9" s="9">
        <v>1</v>
      </c>
      <c r="S9" s="9">
        <v>1</v>
      </c>
      <c r="T9" s="9">
        <v>1</v>
      </c>
      <c r="U9" s="9">
        <v>0</v>
      </c>
      <c r="V9" s="9">
        <v>1</v>
      </c>
      <c r="W9" s="9">
        <v>0</v>
      </c>
      <c r="X9" s="9">
        <v>0</v>
      </c>
      <c r="Y9" s="9">
        <v>0</v>
      </c>
      <c r="Z9" s="9">
        <v>0</v>
      </c>
      <c r="AA9" s="14">
        <f>(SUM(C9:Z9))+AE9</f>
      </c>
      <c r="AB9" s="13">
        <v>0</v>
      </c>
      <c r="AC9" s="12">
        <f>MIN(3, SUMPRODUCT((MOD(Streak!C9:Z9,5)=0)*(MOD(Streak!C9:Z9,10)&lt;&gt;0)*(Streak!C9:Z9&gt;0))) * 5</f>
      </c>
      <c r="AD9" s="12">
        <f>MIN(2, SUMPRODUCT((MOD(Streak!C9:Z9,10)=0)*(Streak!C9:Z9&gt;0))) * 20</f>
      </c>
      <c r="AE9" s="11">
        <f>SUM(AC9:AD9)</f>
      </c>
    </row>
    <row r="10">
      <c r="A10" s="10">
        <v>6</v>
      </c>
      <c r="B10" s="8" t="str">
        <v>kilek</v>
      </c>
      <c r="C10" s="9">
        <v>1</v>
      </c>
      <c r="D10" s="9">
        <v>1</v>
      </c>
      <c r="E10" s="9">
        <v>1</v>
      </c>
      <c r="F10" s="9">
        <v>1</v>
      </c>
      <c r="G10" s="9">
        <v>0</v>
      </c>
      <c r="H10" s="9">
        <v>0</v>
      </c>
      <c r="I10" s="9">
        <v>0</v>
      </c>
      <c r="J10" s="9">
        <v>1</v>
      </c>
      <c r="K10" s="9">
        <v>1</v>
      </c>
      <c r="L10" s="9">
        <v>0</v>
      </c>
      <c r="M10" s="9">
        <v>0</v>
      </c>
      <c r="N10" s="9">
        <v>0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0</v>
      </c>
      <c r="V10" s="9">
        <v>1</v>
      </c>
      <c r="W10" s="9">
        <v>0</v>
      </c>
      <c r="X10" s="9">
        <v>0</v>
      </c>
      <c r="Y10" s="9">
        <v>0</v>
      </c>
      <c r="Z10" s="9">
        <v>0</v>
      </c>
      <c r="AA10" s="14">
        <f>(SUM(C10:Z10))+AE10</f>
      </c>
      <c r="AB10" s="13">
        <v>0</v>
      </c>
      <c r="AC10" s="12">
        <f>MIN(3, SUMPRODUCT((MOD(Streak!C10:Z10,5)=0)*(MOD(Streak!C10:Z10,10)&lt;&gt;0)*(Streak!C10:Z10&gt;0))) * 5</f>
      </c>
      <c r="AD10" s="12">
        <f>MIN(2, SUMPRODUCT((MOD(Streak!C10:Z10,10)=0)*(Streak!C10:Z10&gt;0))) * 20</f>
      </c>
      <c r="AE10" s="11">
        <f>SUM(AC10:AD10)</f>
      </c>
    </row>
    <row r="11">
      <c r="A11" s="10">
        <v>7</v>
      </c>
      <c r="B11" s="8" t="str">
        <v>Profit</v>
      </c>
      <c r="C11" s="9">
        <v>1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>
        <v>1</v>
      </c>
      <c r="L11" s="9">
        <v>1</v>
      </c>
      <c r="M11" s="9">
        <v>1</v>
      </c>
      <c r="N11" s="9">
        <v>1</v>
      </c>
      <c r="O11" s="9">
        <v>1</v>
      </c>
      <c r="P11" s="9">
        <v>1</v>
      </c>
      <c r="Q11" s="9">
        <v>1</v>
      </c>
      <c r="R11" s="9">
        <v>1</v>
      </c>
      <c r="S11" s="9">
        <v>1</v>
      </c>
      <c r="T11" s="9">
        <v>1</v>
      </c>
      <c r="U11" s="9">
        <v>1</v>
      </c>
      <c r="V11" s="9">
        <v>1</v>
      </c>
      <c r="W11" s="9">
        <v>0</v>
      </c>
      <c r="X11" s="9">
        <v>0</v>
      </c>
      <c r="Y11" s="9">
        <v>0</v>
      </c>
      <c r="Z11" s="9">
        <v>0</v>
      </c>
      <c r="AA11" s="14">
        <f>(SUM(C11:Z11))+AE11</f>
      </c>
      <c r="AB11" s="13">
        <v>0</v>
      </c>
      <c r="AC11" s="12">
        <f>MIN(3, SUMPRODUCT((MOD(Streak!C11:Z11,5)=0)*(MOD(Streak!C11:Z11,10)&lt;&gt;0)*(Streak!C11:Z11&gt;0))) * 5</f>
      </c>
      <c r="AD11" s="12">
        <f>MIN(2, SUMPRODUCT((MOD(Streak!C11:Z11,10)=0)*(Streak!C11:Z11&gt;0))) * 20</f>
      </c>
      <c r="AE11" s="11">
        <f>SUM(AC11:AD11)</f>
      </c>
    </row>
    <row r="12">
      <c r="A12" s="10">
        <v>8</v>
      </c>
      <c r="B12" s="8" t="str">
        <v>R389</v>
      </c>
      <c r="C12" s="9">
        <v>1</v>
      </c>
      <c r="D12" s="9">
        <v>1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0</v>
      </c>
      <c r="X12" s="9">
        <v>0</v>
      </c>
      <c r="Y12" s="9">
        <v>0</v>
      </c>
      <c r="Z12" s="9">
        <v>0</v>
      </c>
      <c r="AA12" s="14">
        <f>(SUM(C12:Z12))+AE12</f>
      </c>
      <c r="AB12" s="13">
        <v>0</v>
      </c>
      <c r="AC12" s="12">
        <f>MIN(3, SUMPRODUCT((MOD(Streak!C12:Z12,5)=0)*(MOD(Streak!C12:Z12,10)&lt;&gt;0)*(Streak!C12:Z12&gt;0))) * 5</f>
      </c>
      <c r="AD12" s="12">
        <f>MIN(2, SUMPRODUCT((MOD(Streak!C12:Z12,10)=0)*(Streak!C12:Z12&gt;0))) * 20</f>
      </c>
      <c r="AE12" s="11">
        <f>SUM(AC12:AD12)</f>
      </c>
    </row>
    <row r="13">
      <c r="A13" s="10">
        <v>9</v>
      </c>
      <c r="B13" s="8" t="str">
        <v>Egen</v>
      </c>
      <c r="C13" s="9">
        <v>1</v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0</v>
      </c>
      <c r="L13" s="9">
        <v>1</v>
      </c>
      <c r="M13" s="9">
        <v>1</v>
      </c>
      <c r="N13" s="9">
        <v>1</v>
      </c>
      <c r="O13" s="9">
        <v>1</v>
      </c>
      <c r="P13" s="9">
        <v>1</v>
      </c>
      <c r="Q13" s="9">
        <v>1</v>
      </c>
      <c r="R13" s="9">
        <v>1</v>
      </c>
      <c r="S13" s="9">
        <v>0</v>
      </c>
      <c r="T13" s="9">
        <v>1</v>
      </c>
      <c r="U13" s="9">
        <v>1</v>
      </c>
      <c r="V13" s="9">
        <v>1</v>
      </c>
      <c r="W13" s="9">
        <v>0</v>
      </c>
      <c r="X13" s="9">
        <v>0</v>
      </c>
      <c r="Y13" s="9">
        <v>0</v>
      </c>
      <c r="Z13" s="9">
        <v>0</v>
      </c>
      <c r="AA13" s="14">
        <f>(SUM(C13:Z13))+AE13</f>
      </c>
      <c r="AB13" s="13">
        <v>0</v>
      </c>
      <c r="AC13" s="12">
        <f>MIN(3, SUMPRODUCT((MOD(Streak!C13:Z13,5)=0)*(MOD(Streak!C13:Z13,10)&lt;&gt;0)*(Streak!C13:Z13&gt;0))) * 5</f>
      </c>
      <c r="AD13" s="12">
        <f>MIN(2, SUMPRODUCT((MOD(Streak!C13:Z13,10)=0)*(Streak!C13:Z13&gt;0))) * 20</f>
      </c>
      <c r="AE13" s="11">
        <f>SUM(AC13:AD13)</f>
      </c>
    </row>
    <row r="14">
      <c r="A14" s="10">
        <v>10</v>
      </c>
      <c r="B14" s="8" t="str">
        <v>JADE KING</v>
      </c>
      <c r="C14" s="9">
        <v>1</v>
      </c>
      <c r="D14" s="9">
        <v>1</v>
      </c>
      <c r="E14" s="9">
        <v>1</v>
      </c>
      <c r="F14" s="9">
        <v>1</v>
      </c>
      <c r="G14" s="9">
        <v>0</v>
      </c>
      <c r="H14" s="9">
        <v>0</v>
      </c>
      <c r="I14" s="9">
        <v>1</v>
      </c>
      <c r="J14" s="9">
        <v>0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0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0</v>
      </c>
      <c r="X14" s="9">
        <v>0</v>
      </c>
      <c r="Y14" s="9">
        <v>0</v>
      </c>
      <c r="Z14" s="9">
        <v>0</v>
      </c>
      <c r="AA14" s="14">
        <f>(SUM(C14:Z14))+AE14</f>
      </c>
      <c r="AB14" s="13">
        <v>0</v>
      </c>
      <c r="AC14" s="12">
        <f>MIN(3, SUMPRODUCT((MOD(Streak!C14:Z14,5)=0)*(MOD(Streak!C14:Z14,10)&lt;&gt;0)*(Streak!C14:Z14&gt;0))) * 5</f>
      </c>
      <c r="AD14" s="12">
        <f>MIN(2, SUMPRODUCT((MOD(Streak!C14:Z14,10)=0)*(Streak!C14:Z14&gt;0))) * 20</f>
      </c>
      <c r="AE14" s="11">
        <f>SUM(AC14:AD14)</f>
      </c>
    </row>
    <row r="15">
      <c r="A15" s="10">
        <v>11</v>
      </c>
      <c r="B15" s="8" t="str">
        <v>AV</v>
      </c>
      <c r="C15" s="9">
        <v>1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14">
        <f>(SUM(C15:Z15))+AE15</f>
      </c>
      <c r="AB15" s="13">
        <v>0</v>
      </c>
      <c r="AC15" s="12">
        <f>MIN(3, SUMPRODUCT((MOD(Streak!C15:Z15,5)=0)*(MOD(Streak!C15:Z15,10)&lt;&gt;0)*(Streak!C15:Z15&gt;0))) * 5</f>
      </c>
      <c r="AD15" s="12">
        <f>MIN(2, SUMPRODUCT((MOD(Streak!C15:Z15,10)=0)*(Streak!C15:Z15&gt;0))) * 20</f>
      </c>
      <c r="AE15" s="11">
        <f>SUM(AC15:AD15)</f>
      </c>
    </row>
    <row r="16">
      <c r="A16" s="10">
        <v>12</v>
      </c>
      <c r="B16" s="8" t="str">
        <v>Yul Riadi</v>
      </c>
      <c r="C16" s="9">
        <v>1</v>
      </c>
      <c r="D16" s="9">
        <v>1</v>
      </c>
      <c r="E16" s="9">
        <v>1</v>
      </c>
      <c r="F16" s="9">
        <v>1</v>
      </c>
      <c r="G16" s="9">
        <v>1</v>
      </c>
      <c r="H16" s="9">
        <v>0</v>
      </c>
      <c r="I16" s="9">
        <v>1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14">
        <f>(SUM(C16:Z16))+AE16</f>
      </c>
      <c r="AB16" s="13">
        <v>0</v>
      </c>
      <c r="AC16" s="12">
        <f>MIN(3, SUMPRODUCT((MOD(Streak!C16:Z16,5)=0)*(MOD(Streak!C16:Z16,10)&lt;&gt;0)*(Streak!C16:Z16&gt;0))) * 5</f>
      </c>
      <c r="AD16" s="12">
        <f>MIN(2, SUMPRODUCT((MOD(Streak!C16:Z16,10)=0)*(Streak!C16:Z16&gt;0))) * 20</f>
      </c>
      <c r="AE16" s="11">
        <f>SUM(AC16:AD16)</f>
      </c>
    </row>
    <row r="17">
      <c r="A17" s="10">
        <v>13</v>
      </c>
      <c r="B17" s="8" t="str">
        <v>BSMLH_CUAN</v>
      </c>
      <c r="C17" s="9">
        <v>1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1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1</v>
      </c>
      <c r="W17" s="9">
        <v>0</v>
      </c>
      <c r="X17" s="9">
        <v>0</v>
      </c>
      <c r="Y17" s="9">
        <v>0</v>
      </c>
      <c r="Z17" s="9">
        <v>0</v>
      </c>
      <c r="AA17" s="14">
        <f>(SUM(C17:Z17))+AE17</f>
      </c>
      <c r="AB17" s="13">
        <v>0</v>
      </c>
      <c r="AC17" s="12">
        <f>MIN(3, SUMPRODUCT((MOD(Streak!C17:Z17,5)=0)*(MOD(Streak!C17:Z17,10)&lt;&gt;0)*(Streak!C17:Z17&gt;0))) * 5</f>
      </c>
      <c r="AD17" s="12">
        <f>MIN(2, SUMPRODUCT((MOD(Streak!C17:Z17,10)=0)*(Streak!C17:Z17&gt;0))) * 20</f>
      </c>
      <c r="AE17" s="11">
        <f>SUM(AC17:AD17)</f>
      </c>
    </row>
    <row r="18">
      <c r="A18" s="10">
        <v>14</v>
      </c>
      <c r="B18" s="8" t="str">
        <v>Maya</v>
      </c>
      <c r="C18" s="9">
        <v>1</v>
      </c>
      <c r="D18" s="9">
        <v>1</v>
      </c>
      <c r="E18" s="9">
        <v>1</v>
      </c>
      <c r="F18" s="9">
        <v>1</v>
      </c>
      <c r="G18" s="9">
        <v>1</v>
      </c>
      <c r="H18" s="9">
        <v>1</v>
      </c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0</v>
      </c>
      <c r="X18" s="9">
        <v>0</v>
      </c>
      <c r="Y18" s="9">
        <v>0</v>
      </c>
      <c r="Z18" s="9">
        <v>0</v>
      </c>
      <c r="AA18" s="14">
        <f>(SUM(C18:Z18))+AE18</f>
      </c>
      <c r="AB18" s="13">
        <v>0</v>
      </c>
      <c r="AC18" s="12">
        <f>MIN(3, SUMPRODUCT((MOD(Streak!C18:Z18,5)=0)*(MOD(Streak!C18:Z18,10)&lt;&gt;0)*(Streak!C18:Z18&gt;0))) * 5</f>
      </c>
      <c r="AD18" s="12">
        <f>MIN(2, SUMPRODUCT((MOD(Streak!C18:Z18,10)=0)*(Streak!C18:Z18&gt;0))) * 20</f>
      </c>
      <c r="AE18" s="11">
        <f>SUM(AC18:AD18)</f>
      </c>
    </row>
    <row r="19">
      <c r="A19" s="10">
        <v>15</v>
      </c>
      <c r="B19" s="8" t="str">
        <v>Mich</v>
      </c>
      <c r="C19" s="9">
        <v>1</v>
      </c>
      <c r="D19" s="9">
        <v>0</v>
      </c>
      <c r="E19" s="9">
        <v>1</v>
      </c>
      <c r="F19" s="9">
        <v>1</v>
      </c>
      <c r="G19" s="9">
        <v>1</v>
      </c>
      <c r="H19" s="9">
        <v>1</v>
      </c>
      <c r="I19" s="9">
        <v>0</v>
      </c>
      <c r="J19" s="9">
        <v>1</v>
      </c>
      <c r="K19" s="9">
        <v>0</v>
      </c>
      <c r="L19" s="9">
        <v>1</v>
      </c>
      <c r="M19" s="9">
        <v>0</v>
      </c>
      <c r="N19" s="9">
        <v>1</v>
      </c>
      <c r="O19" s="9">
        <v>1</v>
      </c>
      <c r="P19" s="9">
        <v>0</v>
      </c>
      <c r="Q19" s="9">
        <v>0</v>
      </c>
      <c r="R19" s="9">
        <v>0</v>
      </c>
      <c r="S19" s="9">
        <v>1</v>
      </c>
      <c r="T19" s="9">
        <v>1</v>
      </c>
      <c r="U19" s="9">
        <v>0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14">
        <f>(SUM(C19:Z19))+AE19</f>
      </c>
      <c r="AB19" s="13">
        <v>0</v>
      </c>
      <c r="AC19" s="12">
        <f>MIN(3, SUMPRODUCT((MOD(Streak!C19:Z19,5)=0)*(MOD(Streak!C19:Z19,10)&lt;&gt;0)*(Streak!C19:Z19&gt;0))) * 5</f>
      </c>
      <c r="AD19" s="12">
        <f>MIN(2, SUMPRODUCT((MOD(Streak!C19:Z19,10)=0)*(Streak!C19:Z19&gt;0))) * 20</f>
      </c>
      <c r="AE19" s="11">
        <f>SUM(AC19:AD19)</f>
      </c>
    </row>
    <row r="20">
      <c r="A20" s="10">
        <v>16</v>
      </c>
      <c r="B20" s="8" t="str">
        <v>hyph90</v>
      </c>
      <c r="C20" s="9">
        <v>1</v>
      </c>
      <c r="D20" s="9">
        <v>0</v>
      </c>
      <c r="E20" s="9">
        <v>1</v>
      </c>
      <c r="F20" s="9">
        <v>1</v>
      </c>
      <c r="G20" s="9">
        <v>1</v>
      </c>
      <c r="H20" s="9">
        <v>1</v>
      </c>
      <c r="I20" s="9">
        <v>0</v>
      </c>
      <c r="J20" s="9">
        <v>1</v>
      </c>
      <c r="K20" s="9">
        <v>0</v>
      </c>
      <c r="L20" s="9">
        <v>1</v>
      </c>
      <c r="M20" s="9">
        <v>0</v>
      </c>
      <c r="N20" s="9">
        <v>1</v>
      </c>
      <c r="O20" s="9">
        <v>1</v>
      </c>
      <c r="P20" s="9">
        <v>0</v>
      </c>
      <c r="Q20" s="9">
        <v>0</v>
      </c>
      <c r="R20" s="9">
        <v>0</v>
      </c>
      <c r="S20" s="9">
        <v>1</v>
      </c>
      <c r="T20" s="9">
        <v>1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14">
        <f>(SUM(C20:Z20))+AE20</f>
      </c>
      <c r="AB20" s="13">
        <v>0</v>
      </c>
      <c r="AC20" s="12">
        <f>MIN(3, SUMPRODUCT((MOD(Streak!C20:Z20,5)=0)*(MOD(Streak!C20:Z20,10)&lt;&gt;0)*(Streak!C20:Z20&gt;0))) * 5</f>
      </c>
      <c r="AD20" s="12">
        <f>MIN(2, SUMPRODUCT((MOD(Streak!C20:Z20,10)=0)*(Streak!C20:Z20&gt;0))) * 20</f>
      </c>
      <c r="AE20" s="11">
        <f>SUM(AC20:AD20)</f>
      </c>
    </row>
    <row r="21">
      <c r="A21" s="10">
        <v>17</v>
      </c>
      <c r="B21" s="8" t="str">
        <v>CLOVER</v>
      </c>
      <c r="C21" s="9">
        <v>1</v>
      </c>
      <c r="D21" s="9">
        <v>1</v>
      </c>
      <c r="E21" s="9">
        <v>1</v>
      </c>
      <c r="F21" s="9">
        <v>0</v>
      </c>
      <c r="G21" s="9">
        <v>1</v>
      </c>
      <c r="H21" s="9">
        <v>0</v>
      </c>
      <c r="I21" s="9">
        <v>0</v>
      </c>
      <c r="J21" s="9">
        <v>0</v>
      </c>
      <c r="K21" s="9">
        <v>0</v>
      </c>
      <c r="L21" s="9">
        <v>1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14">
        <f>(SUM(C21:Z21))+AE21</f>
      </c>
      <c r="AB21" s="13">
        <v>0</v>
      </c>
      <c r="AC21" s="12">
        <f>MIN(3, SUMPRODUCT((MOD(Streak!C21:Z21,5)=0)*(MOD(Streak!C21:Z21,10)&lt;&gt;0)*(Streak!C21:Z21&gt;0))) * 5</f>
      </c>
      <c r="AD21" s="12">
        <f>MIN(2, SUMPRODUCT((MOD(Streak!C21:Z21,10)=0)*(Streak!C21:Z21&gt;0))) * 20</f>
      </c>
      <c r="AE21" s="11">
        <f>SUM(AC21:AD21)</f>
      </c>
    </row>
    <row r="22">
      <c r="A22" s="10">
        <v>18</v>
      </c>
      <c r="B22" s="8" t="str">
        <v>Hanya G</v>
      </c>
      <c r="C22" s="9">
        <v>1</v>
      </c>
      <c r="D22" s="9">
        <v>0</v>
      </c>
      <c r="E22" s="9">
        <v>0</v>
      </c>
      <c r="F22" s="9">
        <v>0</v>
      </c>
      <c r="G22" s="9">
        <v>0</v>
      </c>
      <c r="H22" s="9">
        <v>1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14">
        <f>(SUM(C22:Z22))+AE22</f>
      </c>
      <c r="AB22" s="13">
        <v>0</v>
      </c>
      <c r="AC22" s="12">
        <f>MIN(3, SUMPRODUCT((MOD(Streak!C22:Z22,5)=0)*(MOD(Streak!C22:Z22,10)&lt;&gt;0)*(Streak!C22:Z22&gt;0))) * 5</f>
      </c>
      <c r="AD22" s="12">
        <f>MIN(2, SUMPRODUCT((MOD(Streak!C22:Z22,10)=0)*(Streak!C22:Z22&gt;0))) * 20</f>
      </c>
      <c r="AE22" s="11">
        <f>SUM(AC22:AD22)</f>
      </c>
    </row>
    <row r="23">
      <c r="A23" s="10">
        <v>19</v>
      </c>
      <c r="B23" s="8" t="str">
        <v>Nilla Sahkrisna</v>
      </c>
      <c r="C23" s="9">
        <v>1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1</v>
      </c>
      <c r="K23" s="9">
        <v>1</v>
      </c>
      <c r="L23" s="9">
        <v>0</v>
      </c>
      <c r="M23" s="9">
        <v>1</v>
      </c>
      <c r="N23" s="9">
        <v>1</v>
      </c>
      <c r="O23" s="9">
        <v>0</v>
      </c>
      <c r="P23" s="9">
        <v>1</v>
      </c>
      <c r="Q23" s="9">
        <v>0</v>
      </c>
      <c r="R23" s="9">
        <v>0</v>
      </c>
      <c r="S23" s="9">
        <v>0</v>
      </c>
      <c r="T23" s="9">
        <v>1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14">
        <f>(SUM(C23:Z23))+AE23</f>
      </c>
      <c r="AB23" s="13">
        <v>0</v>
      </c>
      <c r="AC23" s="12">
        <f>MIN(3, SUMPRODUCT((MOD(Streak!C23:Z23,5)=0)*(MOD(Streak!C23:Z23,10)&lt;&gt;0)*(Streak!C23:Z23&gt;0))) * 5</f>
      </c>
      <c r="AD23" s="12">
        <f>MIN(2, SUMPRODUCT((MOD(Streak!C23:Z23,10)=0)*(Streak!C23:Z23&gt;0))) * 20</f>
      </c>
      <c r="AE23" s="11">
        <f>SUM(AC23:AD23)</f>
      </c>
    </row>
    <row r="24">
      <c r="A24" s="10">
        <v>20</v>
      </c>
      <c r="B24" s="8" t="str">
        <v>Gugum</v>
      </c>
      <c r="C24" s="9">
        <v>1</v>
      </c>
      <c r="D24" s="9">
        <v>1</v>
      </c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0</v>
      </c>
      <c r="S24" s="9">
        <v>1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14">
        <f>(SUM(C24:Z24))+AE24</f>
      </c>
      <c r="AB24" s="13">
        <v>0</v>
      </c>
      <c r="AC24" s="12">
        <f>MIN(3, SUMPRODUCT((MOD(Streak!C24:Z24,5)=0)*(MOD(Streak!C24:Z24,10)&lt;&gt;0)*(Streak!C24:Z24&gt;0))) * 5</f>
      </c>
      <c r="AD24" s="12">
        <f>MIN(2, SUMPRODUCT((MOD(Streak!C24:Z24,10)=0)*(Streak!C24:Z24&gt;0))) * 20</f>
      </c>
      <c r="AE24" s="11">
        <f>SUM(AC24:AD24)</f>
      </c>
    </row>
    <row r="25">
      <c r="A25" s="10">
        <v>21</v>
      </c>
      <c r="B25" s="8" t="str">
        <v>Pak Ogah</v>
      </c>
      <c r="C25" s="9">
        <v>1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14">
        <f>(SUM(C25:Z25))+AE25</f>
      </c>
      <c r="AB25" s="13">
        <v>0</v>
      </c>
      <c r="AC25" s="12">
        <f>MIN(3, SUMPRODUCT((MOD(Streak!C25:Z25,5)=0)*(MOD(Streak!C25:Z25,10)&lt;&gt;0)*(Streak!C25:Z25&gt;0))) * 5</f>
      </c>
      <c r="AD25" s="12">
        <f>MIN(2, SUMPRODUCT((MOD(Streak!C25:Z25,10)=0)*(Streak!C25:Z25&gt;0))) * 20</f>
      </c>
      <c r="AE25" s="11">
        <f>SUM(AC25:AD25)</f>
      </c>
    </row>
    <row r="26">
      <c r="A26" s="10">
        <v>22</v>
      </c>
      <c r="B26" s="8" t="str">
        <v>Yoshi</v>
      </c>
      <c r="C26" s="9">
        <v>1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14">
        <f>(SUM(C26:Z26))+AE26</f>
      </c>
      <c r="AB26" s="13">
        <v>0</v>
      </c>
      <c r="AC26" s="12">
        <f>MIN(3, SUMPRODUCT((MOD(Streak!C26:Z26,5)=0)*(MOD(Streak!C26:Z26,10)&lt;&gt;0)*(Streak!C26:Z26&gt;0))) * 5</f>
      </c>
      <c r="AD26" s="12">
        <f>MIN(2, SUMPRODUCT((MOD(Streak!C26:Z26,10)=0)*(Streak!C26:Z26&gt;0))) * 20</f>
      </c>
      <c r="AE26" s="11">
        <f>SUM(AC26:AD26)</f>
      </c>
    </row>
    <row r="27">
      <c r="A27" s="10">
        <v>23</v>
      </c>
      <c r="B27" s="8" t="str">
        <v>Ennang</v>
      </c>
      <c r="C27" s="9">
        <v>1</v>
      </c>
      <c r="D27" s="9">
        <v>1</v>
      </c>
      <c r="E27" s="9">
        <v>1</v>
      </c>
      <c r="F27" s="9">
        <v>1</v>
      </c>
      <c r="G27" s="9">
        <v>1</v>
      </c>
      <c r="H27" s="9">
        <v>0</v>
      </c>
      <c r="I27" s="9">
        <v>0</v>
      </c>
      <c r="J27" s="9">
        <v>0</v>
      </c>
      <c r="K27" s="9">
        <v>0</v>
      </c>
      <c r="L27" s="9">
        <v>1</v>
      </c>
      <c r="M27" s="9">
        <v>1</v>
      </c>
      <c r="N27" s="9">
        <v>0</v>
      </c>
      <c r="O27" s="9">
        <v>0</v>
      </c>
      <c r="P27" s="9">
        <v>1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14">
        <f>(SUM(C27:Z27))+AE27</f>
      </c>
      <c r="AB27" s="13">
        <v>0</v>
      </c>
      <c r="AC27" s="12">
        <f>MIN(3, SUMPRODUCT((MOD(Streak!C27:Z27,5)=0)*(MOD(Streak!C27:Z27,10)&lt;&gt;0)*(Streak!C27:Z27&gt;0))) * 5</f>
      </c>
      <c r="AD27" s="12">
        <f>MIN(2, SUMPRODUCT((MOD(Streak!C27:Z27,10)=0)*(Streak!C27:Z27&gt;0))) * 20</f>
      </c>
      <c r="AE27" s="11">
        <f>SUM(AC27:AD27)</f>
      </c>
    </row>
    <row r="28">
      <c r="A28" s="10">
        <v>24</v>
      </c>
      <c r="B28" s="8" t="str">
        <v>Mr. CuanTrus</v>
      </c>
      <c r="C28" s="9">
        <v>1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1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14">
        <f>(SUM(C28:Z28))+AE28</f>
      </c>
      <c r="AB28" s="13">
        <v>0</v>
      </c>
      <c r="AC28" s="12">
        <f>MIN(3, SUMPRODUCT((MOD(Streak!C28:Z28,5)=0)*(MOD(Streak!C28:Z28,10)&lt;&gt;0)*(Streak!C28:Z28&gt;0))) * 5</f>
      </c>
      <c r="AD28" s="12">
        <f>MIN(2, SUMPRODUCT((MOD(Streak!C28:Z28,10)=0)*(Streak!C28:Z28&gt;0))) * 20</f>
      </c>
      <c r="AE28" s="11">
        <f>SUM(AC28:AD28)</f>
      </c>
    </row>
    <row r="29">
      <c r="A29" s="10">
        <v>25</v>
      </c>
      <c r="B29" s="8" t="str">
        <v>SETELANCUAN</v>
      </c>
      <c r="C29" s="9">
        <v>1</v>
      </c>
      <c r="D29" s="9">
        <v>0</v>
      </c>
      <c r="E29" s="9">
        <v>0</v>
      </c>
      <c r="F29" s="9">
        <v>1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1</v>
      </c>
      <c r="W29" s="9">
        <v>0</v>
      </c>
      <c r="X29" s="9">
        <v>0</v>
      </c>
      <c r="Y29" s="9">
        <v>0</v>
      </c>
      <c r="Z29" s="9">
        <v>0</v>
      </c>
      <c r="AA29" s="14">
        <f>(SUM(C29:Z29))+AE29</f>
      </c>
      <c r="AB29" s="13">
        <v>0</v>
      </c>
      <c r="AC29" s="12">
        <f>MIN(3, SUMPRODUCT((MOD(Streak!C29:Z29,5)=0)*(MOD(Streak!C29:Z29,10)&lt;&gt;0)*(Streak!C29:Z29&gt;0))) * 5</f>
      </c>
      <c r="AD29" s="12">
        <f>MIN(2, SUMPRODUCT((MOD(Streak!C29:Z29,10)=0)*(Streak!C29:Z29&gt;0))) * 20</f>
      </c>
      <c r="AE29" s="11">
        <f>SUM(AC29:AD29)</f>
      </c>
    </row>
    <row r="30">
      <c r="A30" s="10">
        <v>26</v>
      </c>
      <c r="B30" s="8" t="str">
        <v>Alfath</v>
      </c>
      <c r="C30" s="9">
        <v>1</v>
      </c>
      <c r="D30" s="9">
        <v>1</v>
      </c>
      <c r="E30" s="9">
        <v>1</v>
      </c>
      <c r="F30" s="9">
        <v>1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1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1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14">
        <f>(SUM(C30:Z30))+AE30</f>
      </c>
      <c r="AB30" s="13">
        <v>0</v>
      </c>
      <c r="AC30" s="12">
        <f>MIN(3, SUMPRODUCT((MOD(Streak!C30:Z30,5)=0)*(MOD(Streak!C30:Z30,10)&lt;&gt;0)*(Streak!C30:Z30&gt;0))) * 5</f>
      </c>
      <c r="AD30" s="12">
        <f>MIN(2, SUMPRODUCT((MOD(Streak!C30:Z30,10)=0)*(Streak!C30:Z30&gt;0))) * 20</f>
      </c>
      <c r="AE30" s="11">
        <f>SUM(AC30:AD30)</f>
      </c>
    </row>
    <row r="31">
      <c r="A31" s="10">
        <v>27</v>
      </c>
      <c r="B31" s="8" t="str">
        <v>Azi</v>
      </c>
      <c r="C31" s="9">
        <v>1</v>
      </c>
      <c r="D31" s="9">
        <v>1</v>
      </c>
      <c r="E31" s="9">
        <v>0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0</v>
      </c>
      <c r="S31" s="9">
        <v>1</v>
      </c>
      <c r="T31" s="9">
        <v>1</v>
      </c>
      <c r="U31" s="9">
        <v>1</v>
      </c>
      <c r="V31" s="9">
        <v>1</v>
      </c>
      <c r="W31" s="9">
        <v>0</v>
      </c>
      <c r="X31" s="9">
        <v>0</v>
      </c>
      <c r="Y31" s="9">
        <v>0</v>
      </c>
      <c r="Z31" s="9">
        <v>0</v>
      </c>
      <c r="AA31" s="14">
        <f>(SUM(C31:Z31))+AE31</f>
      </c>
      <c r="AB31" s="13">
        <v>0</v>
      </c>
      <c r="AC31" s="12">
        <f>MIN(3, SUMPRODUCT((MOD(Streak!C31:Z31,5)=0)*(MOD(Streak!C31:Z31,10)&lt;&gt;0)*(Streak!C31:Z31&gt;0))) * 5</f>
      </c>
      <c r="AD31" s="12">
        <f>MIN(2, SUMPRODUCT((MOD(Streak!C31:Z31,10)=0)*(Streak!C31:Z31&gt;0))) * 20</f>
      </c>
      <c r="AE31" s="11">
        <f>SUM(AC31:AD31)</f>
      </c>
    </row>
    <row r="32">
      <c r="A32" s="10">
        <v>28</v>
      </c>
      <c r="B32" s="8" t="str">
        <v>Adimaya79</v>
      </c>
      <c r="C32" s="9">
        <v>1</v>
      </c>
      <c r="D32" s="9">
        <v>0</v>
      </c>
      <c r="E32" s="9">
        <v>0</v>
      </c>
      <c r="F32" s="9">
        <v>0</v>
      </c>
      <c r="G32" s="9">
        <v>0</v>
      </c>
      <c r="H32" s="9">
        <v>1</v>
      </c>
      <c r="I32" s="9">
        <v>1</v>
      </c>
      <c r="J32" s="9">
        <v>1</v>
      </c>
      <c r="K32" s="9">
        <v>0</v>
      </c>
      <c r="L32" s="9">
        <v>1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1</v>
      </c>
      <c r="S32" s="9">
        <v>0</v>
      </c>
      <c r="T32" s="9">
        <v>0</v>
      </c>
      <c r="U32" s="9">
        <v>1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14">
        <f>(SUM(C32:Z32))+AE32</f>
      </c>
      <c r="AB32" s="13">
        <v>0</v>
      </c>
      <c r="AC32" s="12">
        <f>MIN(3, SUMPRODUCT((MOD(Streak!C32:Z32,5)=0)*(MOD(Streak!C32:Z32,10)&lt;&gt;0)*(Streak!C32:Z32&gt;0))) * 5</f>
      </c>
      <c r="AD32" s="12">
        <f>MIN(2, SUMPRODUCT((MOD(Streak!C32:Z32,10)=0)*(Streak!C32:Z32&gt;0))) * 20</f>
      </c>
      <c r="AE32" s="11">
        <f>SUM(AC32:AD32)</f>
      </c>
    </row>
    <row r="33">
      <c r="A33" s="10">
        <v>29</v>
      </c>
      <c r="B33" s="8" t="str">
        <v>Bonnino</v>
      </c>
      <c r="C33" s="9">
        <v>1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14">
        <f>(SUM(C33:Z33))+AE33</f>
      </c>
      <c r="AB33" s="13">
        <v>0</v>
      </c>
      <c r="AC33" s="12">
        <f>MIN(3, SUMPRODUCT((MOD(Streak!C33:Z33,5)=0)*(MOD(Streak!C33:Z33,10)&lt;&gt;0)*(Streak!C33:Z33&gt;0))) * 5</f>
      </c>
      <c r="AD33" s="12">
        <f>MIN(2, SUMPRODUCT((MOD(Streak!C33:Z33,10)=0)*(Streak!C33:Z33&gt;0))) * 20</f>
      </c>
      <c r="AE33" s="11">
        <f>SUM(AC33:AD33)</f>
      </c>
    </row>
    <row r="34">
      <c r="A34" s="10">
        <v>30</v>
      </c>
      <c r="B34" s="8" t="str">
        <v>Hui Soen Kiong</v>
      </c>
      <c r="C34" s="9">
        <v>1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1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14">
        <f>(SUM(C34:Z34))+AE34</f>
      </c>
      <c r="AB34" s="13">
        <v>0</v>
      </c>
      <c r="AC34" s="12">
        <f>MIN(3, SUMPRODUCT((MOD(Streak!C34:Z34,5)=0)*(MOD(Streak!C34:Z34,10)&lt;&gt;0)*(Streak!C34:Z34&gt;0))) * 5</f>
      </c>
      <c r="AD34" s="12">
        <f>MIN(2, SUMPRODUCT((MOD(Streak!C34:Z34,10)=0)*(Streak!C34:Z34&gt;0))) * 20</f>
      </c>
      <c r="AE34" s="11">
        <f>SUM(AC34:AD34)</f>
      </c>
    </row>
    <row r="35">
      <c r="A35" s="15">
        <v>31</v>
      </c>
      <c r="B35" s="16" t="str">
        <v>JAMberAPA12</v>
      </c>
      <c r="C35" s="18">
        <v>0</v>
      </c>
      <c r="D35" s="18">
        <v>0</v>
      </c>
      <c r="E35" s="18">
        <v>1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14">
        <f>(SUM(C35:Z35))+AE35</f>
      </c>
      <c r="AB35" s="13">
        <v>0</v>
      </c>
      <c r="AC35" s="12">
        <f>MIN(3, SUMPRODUCT((MOD(Streak!C35:Z35,5)=0)*(MOD(Streak!C35:Z35,10)&lt;&gt;0)*(Streak!C35:Z35&gt;0))) * 5</f>
      </c>
      <c r="AD35" s="12">
        <f>MIN(2, SUMPRODUCT((MOD(Streak!C35:Z35,10)=0)*(Streak!C35:Z35&gt;0))) * 20</f>
      </c>
      <c r="AE35" s="11">
        <f>SUM(AC35:AD35)</f>
      </c>
    </row>
    <row r="36">
      <c r="A36" s="15">
        <v>32</v>
      </c>
      <c r="B36" s="16" t="str">
        <v>FerryGood</v>
      </c>
      <c r="C36" s="18">
        <v>0</v>
      </c>
      <c r="D36" s="18">
        <v>0</v>
      </c>
      <c r="E36" s="18">
        <v>1</v>
      </c>
      <c r="F36" s="9">
        <v>0</v>
      </c>
      <c r="G36" s="9">
        <v>0</v>
      </c>
      <c r="H36" s="9">
        <v>0</v>
      </c>
      <c r="I36" s="9">
        <v>0</v>
      </c>
      <c r="J36" s="9">
        <v>1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14">
        <f>(SUM(C36:Z36))+AE36</f>
      </c>
      <c r="AB36" s="13">
        <v>0</v>
      </c>
      <c r="AC36" s="12">
        <f>MIN(3, SUMPRODUCT((MOD(Streak!C36:Z36,5)=0)*(MOD(Streak!C36:Z36,10)&lt;&gt;0)*(Streak!C36:Z36&gt;0))) * 5</f>
      </c>
      <c r="AD36" s="12">
        <f>MIN(2, SUMPRODUCT((MOD(Streak!C36:Z36,10)=0)*(Streak!C36:Z36&gt;0))) * 20</f>
      </c>
      <c r="AE36" s="11">
        <f>SUM(AC36:AD36)</f>
      </c>
    </row>
    <row r="37">
      <c r="A37" s="15">
        <v>33</v>
      </c>
      <c r="B37" s="16" t="str">
        <v>messiLeo</v>
      </c>
      <c r="C37" s="18">
        <v>0</v>
      </c>
      <c r="D37" s="18">
        <v>0</v>
      </c>
      <c r="E37" s="18">
        <v>1</v>
      </c>
      <c r="F37" s="9">
        <v>1</v>
      </c>
      <c r="G37" s="9">
        <v>1</v>
      </c>
      <c r="H37" s="9">
        <v>1</v>
      </c>
      <c r="I37" s="9">
        <v>1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14">
        <f>(SUM(C37:Z37))+AE37</f>
      </c>
      <c r="AB37" s="13">
        <v>0</v>
      </c>
      <c r="AC37" s="12">
        <f>MIN(3, SUMPRODUCT((MOD(Streak!C37:Z37,5)=0)*(MOD(Streak!C37:Z37,10)&lt;&gt;0)*(Streak!C37:Z37&gt;0))) * 5</f>
      </c>
      <c r="AD37" s="12">
        <f>MIN(2, SUMPRODUCT((MOD(Streak!C37:Z37,10)=0)*(Streak!C37:Z37&gt;0))) * 20</f>
      </c>
      <c r="AE37" s="11">
        <f>SUM(AC37:AD37)</f>
      </c>
    </row>
    <row r="38">
      <c r="A38" s="15">
        <v>34</v>
      </c>
      <c r="B38" s="16" t="str">
        <v>KepomponG✅</v>
      </c>
      <c r="C38" s="18">
        <v>0</v>
      </c>
      <c r="D38" s="18">
        <v>0</v>
      </c>
      <c r="E38" s="18">
        <v>1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14">
        <f>(SUM(C38:Z38))+AE38</f>
      </c>
      <c r="AB38" s="13">
        <v>0</v>
      </c>
      <c r="AC38" s="12">
        <f>MIN(3, SUMPRODUCT((MOD(Streak!C38:Z38,5)=0)*(MOD(Streak!C38:Z38,10)&lt;&gt;0)*(Streak!C38:Z38&gt;0))) * 5</f>
      </c>
      <c r="AD38" s="12">
        <f>MIN(2, SUMPRODUCT((MOD(Streak!C38:Z38,10)=0)*(Streak!C38:Z38&gt;0))) * 20</f>
      </c>
      <c r="AE38" s="11">
        <f>SUM(AC38:AD38)</f>
      </c>
    </row>
    <row r="39">
      <c r="A39" s="15">
        <v>35</v>
      </c>
      <c r="B39" s="16" t="str" xml:space="preserve">
        <v>Yuli </v>
      </c>
      <c r="C39" s="18">
        <v>0</v>
      </c>
      <c r="D39" s="18">
        <v>1</v>
      </c>
      <c r="E39" s="18">
        <v>1</v>
      </c>
      <c r="F39" s="9">
        <v>1</v>
      </c>
      <c r="G39" s="9">
        <v>1</v>
      </c>
      <c r="H39" s="9">
        <v>1</v>
      </c>
      <c r="I39" s="9">
        <v>0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>
        <v>1</v>
      </c>
      <c r="S39" s="9">
        <v>1</v>
      </c>
      <c r="T39" s="9">
        <v>1</v>
      </c>
      <c r="U39" s="9">
        <v>1</v>
      </c>
      <c r="V39" s="9">
        <v>1</v>
      </c>
      <c r="W39" s="9">
        <v>0</v>
      </c>
      <c r="X39" s="9">
        <v>0</v>
      </c>
      <c r="Y39" s="9">
        <v>0</v>
      </c>
      <c r="Z39" s="9">
        <v>0</v>
      </c>
      <c r="AA39" s="14">
        <f>(SUM(C39:Z39))+AE39</f>
      </c>
      <c r="AB39" s="13">
        <v>0</v>
      </c>
      <c r="AC39" s="12">
        <f>MIN(3, SUMPRODUCT((MOD(Streak!C39:Z39,5)=0)*(MOD(Streak!C39:Z39,10)&lt;&gt;0)*(Streak!C39:Z39&gt;0))) * 5</f>
      </c>
      <c r="AD39" s="12">
        <f>MIN(2, SUMPRODUCT((MOD(Streak!C39:Z39,10)=0)*(Streak!C39:Z39&gt;0))) * 20</f>
      </c>
      <c r="AE39" s="11">
        <f>SUM(AC39:AD39)</f>
      </c>
    </row>
    <row r="40">
      <c r="A40" s="15">
        <v>36</v>
      </c>
      <c r="B40" s="16" t="str">
        <v>GELPHY ✅</v>
      </c>
      <c r="C40" s="18">
        <v>0</v>
      </c>
      <c r="D40" s="18">
        <v>0</v>
      </c>
      <c r="E40" s="18">
        <v>1</v>
      </c>
      <c r="F40" s="9">
        <v>0</v>
      </c>
      <c r="G40" s="9">
        <v>0</v>
      </c>
      <c r="H40" s="9">
        <v>1</v>
      </c>
      <c r="I40" s="9">
        <v>1</v>
      </c>
      <c r="J40" s="9">
        <v>1</v>
      </c>
      <c r="K40" s="9">
        <v>1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14">
        <f>(SUM(C40:Z40))+AE40</f>
      </c>
      <c r="AB40" s="13">
        <v>0</v>
      </c>
      <c r="AC40" s="12">
        <f>MIN(3, SUMPRODUCT((MOD(Streak!C40:Z40,5)=0)*(MOD(Streak!C40:Z40,10)&lt;&gt;0)*(Streak!C40:Z40&gt;0))) * 5</f>
      </c>
      <c r="AD40" s="12">
        <f>MIN(2, SUMPRODUCT((MOD(Streak!C40:Z40,10)=0)*(Streak!C40:Z40&gt;0))) * 20</f>
      </c>
      <c r="AE40" s="11">
        <f>SUM(AC40:AD40)</f>
      </c>
    </row>
    <row r="41">
      <c r="A41" s="15">
        <v>37</v>
      </c>
      <c r="B41" s="16" t="str">
        <v>Darso</v>
      </c>
      <c r="C41" s="18">
        <v>0</v>
      </c>
      <c r="D41" s="18">
        <v>0</v>
      </c>
      <c r="E41" s="18">
        <v>1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14">
        <f>(SUM(C41:Z41))+AE41</f>
      </c>
      <c r="AB41" s="13">
        <v>0</v>
      </c>
      <c r="AC41" s="12">
        <f>MIN(3, SUMPRODUCT((MOD(Streak!C41:Z41,5)=0)*(MOD(Streak!C41:Z41,10)&lt;&gt;0)*(Streak!C41:Z41&gt;0))) * 5</f>
      </c>
      <c r="AD41" s="12">
        <f>MIN(2, SUMPRODUCT((MOD(Streak!C41:Z41,10)=0)*(Streak!C41:Z41&gt;0))) * 20</f>
      </c>
      <c r="AE41" s="11">
        <f>SUM(AC41:AD41)</f>
      </c>
    </row>
    <row r="42">
      <c r="A42" s="15">
        <v>38</v>
      </c>
      <c r="B42" s="16" t="str">
        <v>Zuna76</v>
      </c>
      <c r="C42" s="18">
        <v>0</v>
      </c>
      <c r="D42" s="18">
        <v>0</v>
      </c>
      <c r="E42" s="18">
        <v>1</v>
      </c>
      <c r="F42" s="9">
        <v>0</v>
      </c>
      <c r="G42" s="9">
        <v>0</v>
      </c>
      <c r="H42" s="9">
        <v>0</v>
      </c>
      <c r="I42" s="9">
        <v>0</v>
      </c>
      <c r="J42" s="9">
        <v>1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1</v>
      </c>
      <c r="Q42" s="9">
        <v>0</v>
      </c>
      <c r="R42" s="9">
        <v>1</v>
      </c>
      <c r="S42" s="9">
        <v>0</v>
      </c>
      <c r="T42" s="9">
        <v>0</v>
      </c>
      <c r="U42" s="9">
        <v>1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14">
        <f>(SUM(C42:Z42))+AE42</f>
      </c>
      <c r="AB42" s="13">
        <v>0</v>
      </c>
      <c r="AC42" s="12">
        <f>MIN(3, SUMPRODUCT((MOD(Streak!C42:Z42,5)=0)*(MOD(Streak!C42:Z42,10)&lt;&gt;0)*(Streak!C42:Z42&gt;0))) * 5</f>
      </c>
      <c r="AD42" s="12">
        <f>MIN(2, SUMPRODUCT((MOD(Streak!C42:Z42,10)=0)*(Streak!C42:Z42&gt;0))) * 20</f>
      </c>
      <c r="AE42" s="11">
        <f>SUM(AC42:AD42)</f>
      </c>
    </row>
    <row r="43">
      <c r="A43" s="15">
        <v>39</v>
      </c>
      <c r="B43" s="16" t="str">
        <v>Peyeri1906</v>
      </c>
      <c r="C43" s="18">
        <v>0</v>
      </c>
      <c r="D43" s="18">
        <v>1</v>
      </c>
      <c r="E43" s="18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9">
        <v>1</v>
      </c>
      <c r="N43" s="9">
        <v>1</v>
      </c>
      <c r="O43" s="9">
        <v>1</v>
      </c>
      <c r="P43" s="9">
        <v>1</v>
      </c>
      <c r="Q43" s="9">
        <v>1</v>
      </c>
      <c r="R43" s="9">
        <v>1</v>
      </c>
      <c r="S43" s="9">
        <v>1</v>
      </c>
      <c r="T43" s="9">
        <v>1</v>
      </c>
      <c r="U43" s="9">
        <v>1</v>
      </c>
      <c r="V43" s="9">
        <v>1</v>
      </c>
      <c r="W43" s="9">
        <v>0</v>
      </c>
      <c r="X43" s="9">
        <v>0</v>
      </c>
      <c r="Y43" s="9">
        <v>0</v>
      </c>
      <c r="Z43" s="9">
        <v>0</v>
      </c>
      <c r="AA43" s="14">
        <f>(SUM(C43:Z43))+AE43</f>
      </c>
      <c r="AB43" s="13">
        <v>0</v>
      </c>
      <c r="AC43" s="12">
        <f>MIN(3, SUMPRODUCT((MOD(Streak!C43:Z43,5)=0)*(MOD(Streak!C43:Z43,10)&lt;&gt;0)*(Streak!C43:Z43&gt;0))) * 5</f>
      </c>
      <c r="AD43" s="12">
        <f>MIN(2, SUMPRODUCT((MOD(Streak!C43:Z43,10)=0)*(Streak!C43:Z43&gt;0))) * 20</f>
      </c>
      <c r="AE43" s="11">
        <f>SUM(AC43:AD43)</f>
      </c>
    </row>
    <row r="44">
      <c r="A44" s="15">
        <v>40</v>
      </c>
      <c r="B44" s="16" t="str">
        <v>Lani</v>
      </c>
      <c r="C44" s="18">
        <v>0</v>
      </c>
      <c r="D44" s="18">
        <v>0</v>
      </c>
      <c r="E44" s="18">
        <v>1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1</v>
      </c>
      <c r="W44" s="9">
        <v>0</v>
      </c>
      <c r="X44" s="9">
        <v>0</v>
      </c>
      <c r="Y44" s="9">
        <v>0</v>
      </c>
      <c r="Z44" s="9">
        <v>0</v>
      </c>
      <c r="AA44" s="14">
        <f>(SUM(C44:Z44))+AE44</f>
      </c>
      <c r="AB44" s="13">
        <v>0</v>
      </c>
      <c r="AC44" s="12">
        <f>MIN(3, SUMPRODUCT((MOD(Streak!C44:Z44,5)=0)*(MOD(Streak!C44:Z44,10)&lt;&gt;0)*(Streak!C44:Z44&gt;0))) * 5</f>
      </c>
      <c r="AD44" s="12">
        <f>MIN(2, SUMPRODUCT((MOD(Streak!C44:Z44,10)=0)*(Streak!C44:Z44&gt;0))) * 20</f>
      </c>
      <c r="AE44" s="11">
        <f>SUM(AC44:AD44)</f>
      </c>
    </row>
    <row r="45">
      <c r="A45" s="15">
        <v>41</v>
      </c>
      <c r="B45" s="16" t="str">
        <v>mytradding</v>
      </c>
      <c r="C45" s="18">
        <v>0</v>
      </c>
      <c r="D45" s="18">
        <v>0</v>
      </c>
      <c r="E45" s="18">
        <v>1</v>
      </c>
      <c r="F45" s="9">
        <v>0</v>
      </c>
      <c r="G45" s="9">
        <v>0</v>
      </c>
      <c r="H45" s="9">
        <v>0</v>
      </c>
      <c r="I45" s="9">
        <v>0</v>
      </c>
      <c r="J45" s="9">
        <v>1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14">
        <f>(SUM(C45:Z45))+AE45</f>
      </c>
      <c r="AB45" s="13">
        <v>0</v>
      </c>
      <c r="AC45" s="12">
        <f>MIN(3, SUMPRODUCT((MOD(Streak!C45:Z45,5)=0)*(MOD(Streak!C45:Z45,10)&lt;&gt;0)*(Streak!C45:Z45&gt;0))) * 5</f>
      </c>
      <c r="AD45" s="12">
        <f>MIN(2, SUMPRODUCT((MOD(Streak!C45:Z45,10)=0)*(Streak!C45:Z45&gt;0))) * 20</f>
      </c>
      <c r="AE45" s="11">
        <f>SUM(AC45:AD45)</f>
      </c>
    </row>
    <row r="46">
      <c r="A46" s="15">
        <v>42</v>
      </c>
      <c r="B46" s="16" t="str">
        <v>Bejo09</v>
      </c>
      <c r="C46" s="18">
        <v>0</v>
      </c>
      <c r="D46" s="18">
        <v>0</v>
      </c>
      <c r="E46" s="18">
        <v>1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W46" s="9">
        <v>0</v>
      </c>
      <c r="X46" s="9">
        <v>0</v>
      </c>
      <c r="Y46" s="9">
        <v>0</v>
      </c>
      <c r="Z46" s="9">
        <v>0</v>
      </c>
      <c r="AA46" s="14">
        <f>(SUM(C46:Z46))+AE46</f>
      </c>
      <c r="AB46" s="13">
        <v>0</v>
      </c>
      <c r="AC46" s="12">
        <f>MIN(3, SUMPRODUCT((MOD(Streak!C46:Z46,5)=0)*(MOD(Streak!C46:Z46,10)&lt;&gt;0)*(Streak!C46:Z46&gt;0))) * 5</f>
      </c>
      <c r="AD46" s="12">
        <f>MIN(2, SUMPRODUCT((MOD(Streak!C46:Z46,10)=0)*(Streak!C46:Z46&gt;0))) * 20</f>
      </c>
      <c r="AE46" s="11">
        <f>SUM(AC46:AD46)</f>
      </c>
    </row>
    <row r="47">
      <c r="A47" s="15">
        <v>43</v>
      </c>
      <c r="B47" s="16" t="str" xml:space="preserve">
        <v>FAAHAS </v>
      </c>
      <c r="C47" s="18">
        <v>0</v>
      </c>
      <c r="D47" s="18">
        <v>1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1</v>
      </c>
      <c r="R47" s="9">
        <v>0</v>
      </c>
      <c r="S47" s="9">
        <v>0</v>
      </c>
      <c r="T47" s="9">
        <v>0</v>
      </c>
      <c r="U47" s="9">
        <v>0</v>
      </c>
      <c r="V47" s="9">
        <v>0</v>
      </c>
      <c r="W47" s="9">
        <v>0</v>
      </c>
      <c r="X47" s="9">
        <v>0</v>
      </c>
      <c r="Y47" s="9">
        <v>0</v>
      </c>
      <c r="Z47" s="9">
        <v>0</v>
      </c>
      <c r="AA47" s="14">
        <f>(SUM(C47:Z47))+AE47</f>
      </c>
      <c r="AB47" s="13">
        <v>0</v>
      </c>
      <c r="AC47" s="12">
        <f>MIN(3, SUMPRODUCT((MOD(Streak!C47:Z47,5)=0)*(MOD(Streak!C47:Z47,10)&lt;&gt;0)*(Streak!C47:Z47&gt;0))) * 5</f>
      </c>
      <c r="AD47" s="12">
        <f>MIN(2, SUMPRODUCT((MOD(Streak!C47:Z47,10)=0)*(Streak!C47:Z47&gt;0))) * 20</f>
      </c>
      <c r="AE47" s="11">
        <f>SUM(AC47:AD47)</f>
      </c>
    </row>
    <row r="48">
      <c r="A48" s="15">
        <v>44</v>
      </c>
      <c r="B48" s="16" t="str">
        <v>Mr.Eko</v>
      </c>
      <c r="C48" s="18">
        <v>0</v>
      </c>
      <c r="D48" s="18">
        <v>1</v>
      </c>
      <c r="E48" s="18">
        <v>1</v>
      </c>
      <c r="F48" s="9">
        <v>1</v>
      </c>
      <c r="G48" s="9">
        <v>0</v>
      </c>
      <c r="H48" s="9">
        <v>1</v>
      </c>
      <c r="I48" s="9">
        <v>1</v>
      </c>
      <c r="J48" s="9">
        <v>0</v>
      </c>
      <c r="K48" s="9">
        <v>1</v>
      </c>
      <c r="L48" s="9">
        <v>0</v>
      </c>
      <c r="M48" s="9">
        <v>0</v>
      </c>
      <c r="N48" s="9">
        <v>1</v>
      </c>
      <c r="O48" s="9">
        <v>1</v>
      </c>
      <c r="P48" s="9">
        <v>1</v>
      </c>
      <c r="Q48" s="9">
        <v>1</v>
      </c>
      <c r="R48" s="9">
        <v>0</v>
      </c>
      <c r="S48" s="9">
        <v>1</v>
      </c>
      <c r="T48" s="9">
        <v>1</v>
      </c>
      <c r="U48" s="9">
        <v>1</v>
      </c>
      <c r="V48" s="9">
        <v>1</v>
      </c>
      <c r="W48" s="9">
        <v>0</v>
      </c>
      <c r="X48" s="9">
        <v>0</v>
      </c>
      <c r="Y48" s="9">
        <v>0</v>
      </c>
      <c r="Z48" s="9">
        <v>0</v>
      </c>
      <c r="AA48" s="14">
        <f>(SUM(C48:Z48))+AE48</f>
      </c>
      <c r="AB48" s="13">
        <v>0</v>
      </c>
      <c r="AC48" s="12">
        <f>MIN(3, SUMPRODUCT((MOD(Streak!C48:Z48,5)=0)*(MOD(Streak!C48:Z48,10)&lt;&gt;0)*(Streak!C48:Z48&gt;0))) * 5</f>
      </c>
      <c r="AD48" s="12">
        <f>MIN(2, SUMPRODUCT((MOD(Streak!C48:Z48,10)=0)*(Streak!C48:Z48&gt;0))) * 20</f>
      </c>
      <c r="AE48" s="11">
        <f>SUM(AC48:AD48)</f>
      </c>
    </row>
    <row r="49">
      <c r="A49" s="15">
        <v>45</v>
      </c>
      <c r="B49" s="16" t="str">
        <v>ernaeky788</v>
      </c>
      <c r="C49" s="18">
        <v>0</v>
      </c>
      <c r="D49" s="18">
        <v>1</v>
      </c>
      <c r="E49" s="9">
        <v>0</v>
      </c>
      <c r="F49" s="9">
        <v>0</v>
      </c>
      <c r="G49" s="9">
        <v>0</v>
      </c>
      <c r="H49" s="9">
        <v>1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14">
        <f>(SUM(C49:Z49))+AE49</f>
      </c>
      <c r="AB49" s="13">
        <v>0</v>
      </c>
      <c r="AC49" s="12">
        <f>MIN(3, SUMPRODUCT((MOD(Streak!C49:Z49,5)=0)*(MOD(Streak!C49:Z49,10)&lt;&gt;0)*(Streak!C49:Z49&gt;0))) * 5</f>
      </c>
      <c r="AD49" s="12">
        <f>MIN(2, SUMPRODUCT((MOD(Streak!C49:Z49,10)=0)*(Streak!C49:Z49&gt;0))) * 20</f>
      </c>
      <c r="AE49" s="11">
        <f>SUM(AC49:AD49)</f>
      </c>
    </row>
    <row r="50">
      <c r="A50" s="15">
        <v>46</v>
      </c>
      <c r="B50" s="16" t="str">
        <v>Cuan XRP</v>
      </c>
      <c r="C50" s="18">
        <v>0</v>
      </c>
      <c r="D50" s="18">
        <v>1</v>
      </c>
      <c r="E50" s="9">
        <v>0</v>
      </c>
      <c r="F50" s="9">
        <v>1</v>
      </c>
      <c r="G50" s="9">
        <v>1</v>
      </c>
      <c r="H50" s="9">
        <v>0</v>
      </c>
      <c r="I50" s="9">
        <v>0</v>
      </c>
      <c r="J50" s="9">
        <v>0</v>
      </c>
      <c r="K50" s="9">
        <v>0</v>
      </c>
      <c r="L50" s="9">
        <v>1</v>
      </c>
      <c r="M50" s="9">
        <v>1</v>
      </c>
      <c r="N50" s="9">
        <v>0</v>
      </c>
      <c r="O50" s="9">
        <v>1</v>
      </c>
      <c r="P50" s="9">
        <v>1</v>
      </c>
      <c r="Q50" s="9">
        <v>1</v>
      </c>
      <c r="R50" s="9">
        <v>1</v>
      </c>
      <c r="S50" s="9">
        <v>1</v>
      </c>
      <c r="T50" s="9">
        <v>1</v>
      </c>
      <c r="U50" s="9">
        <v>1</v>
      </c>
      <c r="V50" s="9">
        <v>1</v>
      </c>
      <c r="W50" s="9">
        <v>0</v>
      </c>
      <c r="X50" s="9">
        <v>0</v>
      </c>
      <c r="Y50" s="9">
        <v>0</v>
      </c>
      <c r="Z50" s="9">
        <v>0</v>
      </c>
      <c r="AA50" s="14">
        <f>(SUM(C50:Z50))+AE50</f>
      </c>
      <c r="AB50" s="13">
        <v>0</v>
      </c>
      <c r="AC50" s="12">
        <f>MIN(3, SUMPRODUCT((MOD(Streak!C50:Z50,5)=0)*(MOD(Streak!C50:Z50,10)&lt;&gt;0)*(Streak!C50:Z50&gt;0))) * 5</f>
      </c>
      <c r="AD50" s="12">
        <f>MIN(2, SUMPRODUCT((MOD(Streak!C50:Z50,10)=0)*(Streak!C50:Z50&gt;0))) * 20</f>
      </c>
      <c r="AE50" s="11">
        <f>SUM(AC50:AD50)</f>
      </c>
    </row>
    <row r="51">
      <c r="A51" s="15">
        <v>47</v>
      </c>
      <c r="B51" s="16" t="str">
        <v>MUHAMMAD NASRULLAH</v>
      </c>
      <c r="C51" s="18">
        <v>0</v>
      </c>
      <c r="D51" s="18">
        <v>1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14">
        <f>(SUM(C51:Z51))+AE51</f>
      </c>
      <c r="AB51" s="13">
        <v>0</v>
      </c>
      <c r="AC51" s="12">
        <f>MIN(3, SUMPRODUCT((MOD(Streak!C51:Z51,5)=0)*(MOD(Streak!C51:Z51,10)&lt;&gt;0)*(Streak!C51:Z51&gt;0))) * 5</f>
      </c>
      <c r="AD51" s="12">
        <f>MIN(2, SUMPRODUCT((MOD(Streak!C51:Z51,10)=0)*(Streak!C51:Z51&gt;0))) * 20</f>
      </c>
      <c r="AE51" s="11">
        <f>SUM(AC51:AD51)</f>
      </c>
    </row>
    <row customHeight="true" ht="19" r="52">
      <c r="A52" s="15">
        <v>48</v>
      </c>
      <c r="B52" s="16" t="str">
        <v>Tjoei Lan</v>
      </c>
      <c r="C52" s="18">
        <v>0</v>
      </c>
      <c r="D52" s="18">
        <v>1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  <c r="V52" s="9">
        <v>1</v>
      </c>
      <c r="W52" s="9">
        <v>0</v>
      </c>
      <c r="X52" s="9">
        <v>0</v>
      </c>
      <c r="Y52" s="9">
        <v>0</v>
      </c>
      <c r="Z52" s="9">
        <v>0</v>
      </c>
      <c r="AA52" s="14">
        <f>(SUM(C52:Z52))+AE52</f>
      </c>
      <c r="AB52" s="13">
        <v>0</v>
      </c>
      <c r="AC52" s="12">
        <f>MIN(3, SUMPRODUCT((MOD(Streak!C52:Z52,5)=0)*(MOD(Streak!C52:Z52,10)&lt;&gt;0)*(Streak!C52:Z52&gt;0))) * 5</f>
      </c>
      <c r="AD52" s="12">
        <f>MIN(2, SUMPRODUCT((MOD(Streak!C52:Z52,10)=0)*(Streak!C52:Z52&gt;0))) * 20</f>
      </c>
      <c r="AE52" s="11">
        <f>SUM(AC52:AD52)</f>
      </c>
    </row>
    <row customHeight="true" ht="19" r="53">
      <c r="A53" s="15">
        <v>49</v>
      </c>
      <c r="B53" s="16" t="str">
        <v>Syamsultan</v>
      </c>
      <c r="C53" s="18">
        <v>0</v>
      </c>
      <c r="D53" s="18">
        <v>1</v>
      </c>
      <c r="E53" s="9">
        <v>0</v>
      </c>
      <c r="F53" s="9">
        <v>1</v>
      </c>
      <c r="G53" s="9">
        <v>0</v>
      </c>
      <c r="H53" s="9">
        <v>1</v>
      </c>
      <c r="I53" s="9">
        <v>1</v>
      </c>
      <c r="J53" s="9">
        <v>1</v>
      </c>
      <c r="K53" s="9">
        <v>1</v>
      </c>
      <c r="L53" s="9">
        <v>1</v>
      </c>
      <c r="M53" s="9">
        <v>1</v>
      </c>
      <c r="N53" s="9">
        <v>1</v>
      </c>
      <c r="O53" s="9">
        <v>1</v>
      </c>
      <c r="P53" s="9">
        <v>1</v>
      </c>
      <c r="Q53" s="9">
        <v>1</v>
      </c>
      <c r="R53" s="9">
        <v>1</v>
      </c>
      <c r="S53" s="9">
        <v>1</v>
      </c>
      <c r="T53" s="9">
        <v>0</v>
      </c>
      <c r="U53" s="9">
        <v>1</v>
      </c>
      <c r="V53" s="9">
        <v>1</v>
      </c>
      <c r="W53" s="9">
        <v>0</v>
      </c>
      <c r="X53" s="9">
        <v>0</v>
      </c>
      <c r="Y53" s="9">
        <v>0</v>
      </c>
      <c r="Z53" s="9">
        <v>0</v>
      </c>
      <c r="AA53" s="14">
        <f>(SUM(C53:Z53))+AE53</f>
      </c>
      <c r="AB53" s="13">
        <v>0</v>
      </c>
      <c r="AC53" s="12">
        <f>MIN(3, SUMPRODUCT((MOD(Streak!C53:Z53,5)=0)*(MOD(Streak!C53:Z53,10)&lt;&gt;0)*(Streak!C53:Z53&gt;0))) * 5</f>
      </c>
      <c r="AD53" s="12">
        <f>MIN(2, SUMPRODUCT((MOD(Streak!C53:Z53,10)=0)*(Streak!C53:Z53&gt;0))) * 20</f>
      </c>
      <c r="AE53" s="11">
        <f>SUM(AC53:AD53)</f>
      </c>
    </row>
    <row customHeight="true" ht="19" r="54">
      <c r="A54" s="15">
        <v>50</v>
      </c>
      <c r="B54" s="16" t="str">
        <v>INDRAWAN</v>
      </c>
      <c r="C54" s="18">
        <v>0</v>
      </c>
      <c r="D54" s="18">
        <v>1</v>
      </c>
      <c r="E54" s="9">
        <v>0</v>
      </c>
      <c r="F54" s="9">
        <v>1</v>
      </c>
      <c r="G54" s="9">
        <v>1</v>
      </c>
      <c r="H54" s="9">
        <v>0</v>
      </c>
      <c r="I54" s="9">
        <v>0</v>
      </c>
      <c r="J54" s="9">
        <v>0</v>
      </c>
      <c r="K54" s="9">
        <v>0</v>
      </c>
      <c r="L54" s="9">
        <v>1</v>
      </c>
      <c r="M54" s="9">
        <v>0</v>
      </c>
      <c r="N54" s="9">
        <v>0</v>
      </c>
      <c r="O54" s="9">
        <v>1</v>
      </c>
      <c r="P54" s="9">
        <v>0</v>
      </c>
      <c r="Q54" s="9">
        <v>1</v>
      </c>
      <c r="R54" s="9">
        <v>1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14">
        <f>(SUM(C54:Z54))+AE54</f>
      </c>
      <c r="AB54" s="13">
        <v>0</v>
      </c>
      <c r="AC54" s="12">
        <f>MIN(3, SUMPRODUCT((MOD(Streak!C54:Z54,5)=0)*(MOD(Streak!C54:Z54,10)&lt;&gt;0)*(Streak!C54:Z54&gt;0))) * 5</f>
      </c>
      <c r="AD54" s="12">
        <f>MIN(2, SUMPRODUCT((MOD(Streak!C54:Z54,10)=0)*(Streak!C54:Z54&gt;0))) * 20</f>
      </c>
      <c r="AE54" s="11">
        <f>SUM(AC54:AD54)</f>
      </c>
    </row>
    <row customHeight="true" ht="19" r="55">
      <c r="A55" s="15">
        <v>51</v>
      </c>
      <c r="B55" s="16" t="str">
        <v>TIYANG SAE</v>
      </c>
      <c r="C55" s="18">
        <v>0</v>
      </c>
      <c r="D55" s="18">
        <v>0</v>
      </c>
      <c r="E55" s="9">
        <v>0</v>
      </c>
      <c r="F55" s="9">
        <v>1</v>
      </c>
      <c r="G55" s="9">
        <v>0</v>
      </c>
      <c r="H55" s="9">
        <v>0</v>
      </c>
      <c r="I55" s="9">
        <v>0</v>
      </c>
      <c r="J55" s="9">
        <v>0</v>
      </c>
      <c r="K55" s="9">
        <v>1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1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14">
        <f>(SUM(C55:Z55))+AE55</f>
      </c>
      <c r="AB55" s="13">
        <v>0</v>
      </c>
      <c r="AC55" s="12">
        <f>MIN(3, SUMPRODUCT((MOD(Streak!C55:Z55,5)=0)*(MOD(Streak!C55:Z55,10)&lt;&gt;0)*(Streak!C55:Z55&gt;0))) * 5</f>
      </c>
      <c r="AD55" s="12">
        <f>MIN(2, SUMPRODUCT((MOD(Streak!C55:Z55,10)=0)*(Streak!C55:Z55&gt;0))) * 20</f>
      </c>
      <c r="AE55" s="11">
        <f>SUM(AC55:AD55)</f>
      </c>
    </row>
    <row customHeight="true" ht="19" r="56">
      <c r="A56" s="15">
        <v>52</v>
      </c>
      <c r="B56" s="16" t="str">
        <v>HadriKSD</v>
      </c>
      <c r="C56" s="18">
        <v>0</v>
      </c>
      <c r="D56" s="18">
        <v>0</v>
      </c>
      <c r="E56" s="9">
        <v>0</v>
      </c>
      <c r="F56" s="9">
        <v>1</v>
      </c>
      <c r="G56" s="9">
        <v>1</v>
      </c>
      <c r="H56" s="9">
        <v>1</v>
      </c>
      <c r="I56" s="9">
        <v>0</v>
      </c>
      <c r="J56" s="9">
        <v>0</v>
      </c>
      <c r="K56" s="9">
        <v>0</v>
      </c>
      <c r="L56" s="9">
        <v>0</v>
      </c>
      <c r="M56" s="9">
        <v>1</v>
      </c>
      <c r="N56" s="9">
        <v>1</v>
      </c>
      <c r="O56" s="9">
        <v>1</v>
      </c>
      <c r="P56" s="9">
        <v>1</v>
      </c>
      <c r="Q56" s="9">
        <v>1</v>
      </c>
      <c r="R56" s="9">
        <v>1</v>
      </c>
      <c r="S56" s="9">
        <v>0</v>
      </c>
      <c r="T56" s="9">
        <v>0</v>
      </c>
      <c r="U56" s="9">
        <v>0</v>
      </c>
      <c r="V56" s="9">
        <v>1</v>
      </c>
      <c r="W56" s="9">
        <v>0</v>
      </c>
      <c r="X56" s="9">
        <v>0</v>
      </c>
      <c r="Y56" s="9">
        <v>0</v>
      </c>
      <c r="Z56" s="9">
        <v>0</v>
      </c>
      <c r="AA56" s="14">
        <f>(SUM(C56:Z56))+AE56</f>
      </c>
      <c r="AB56" s="13">
        <v>0</v>
      </c>
      <c r="AC56" s="12">
        <f>MIN(3, SUMPRODUCT((MOD(Streak!C56:Z56,5)=0)*(MOD(Streak!C56:Z56,10)&lt;&gt;0)*(Streak!C56:Z56&gt;0))) * 5</f>
      </c>
      <c r="AD56" s="12">
        <f>MIN(2, SUMPRODUCT((MOD(Streak!C56:Z56,10)=0)*(Streak!C56:Z56&gt;0))) * 20</f>
      </c>
      <c r="AE56" s="11">
        <f>SUM(AC56:AD56)</f>
      </c>
    </row>
    <row customHeight="true" ht="19" r="57">
      <c r="A57" s="15">
        <v>53</v>
      </c>
      <c r="B57" s="16" t="str">
        <v>buy tongka</v>
      </c>
      <c r="C57" s="18">
        <v>0</v>
      </c>
      <c r="D57" s="18">
        <v>0</v>
      </c>
      <c r="E57" s="9">
        <v>0</v>
      </c>
      <c r="F57" s="9">
        <v>1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14">
        <f>(SUM(C57:Z57))+AE57</f>
      </c>
      <c r="AB57" s="13">
        <v>0</v>
      </c>
      <c r="AC57" s="12">
        <f>MIN(3, SUMPRODUCT((MOD(Streak!C57:Z57,5)=0)*(MOD(Streak!C57:Z57,10)&lt;&gt;0)*(Streak!C57:Z57&gt;0))) * 5</f>
      </c>
      <c r="AD57" s="12">
        <f>MIN(2, SUMPRODUCT((MOD(Streak!C57:Z57,10)=0)*(Streak!C57:Z57&gt;0))) * 20</f>
      </c>
      <c r="AE57" s="11">
        <f>SUM(AC57:AD57)</f>
      </c>
    </row>
    <row customHeight="true" ht="19" r="58">
      <c r="A58" s="15">
        <v>54</v>
      </c>
      <c r="B58" s="16" t="str">
        <v>Gober</v>
      </c>
      <c r="C58" s="18">
        <v>0</v>
      </c>
      <c r="D58" s="18">
        <v>0</v>
      </c>
      <c r="E58" s="9">
        <v>0</v>
      </c>
      <c r="F58" s="9">
        <v>1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14">
        <f>(SUM(C58:Z58))+AE58</f>
      </c>
      <c r="AB58" s="13">
        <v>0</v>
      </c>
      <c r="AC58" s="12">
        <f>MIN(3, SUMPRODUCT((MOD(Streak!C58:Z58,5)=0)*(MOD(Streak!C58:Z58,10)&lt;&gt;0)*(Streak!C58:Z58&gt;0))) * 5</f>
      </c>
      <c r="AD58" s="12">
        <f>MIN(2, SUMPRODUCT((MOD(Streak!C58:Z58,10)=0)*(Streak!C58:Z58&gt;0))) * 20</f>
      </c>
      <c r="AE58" s="11">
        <f>SUM(AC58:AD58)</f>
      </c>
    </row>
    <row customHeight="true" ht="19" r="59">
      <c r="A59" s="15">
        <v>55</v>
      </c>
      <c r="B59" s="16" t="str">
        <v>caniago</v>
      </c>
      <c r="C59" s="18">
        <v>0</v>
      </c>
      <c r="D59" s="18">
        <v>0</v>
      </c>
      <c r="E59" s="9">
        <v>0</v>
      </c>
      <c r="F59" s="9">
        <v>1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14">
        <f>(SUM(C59:Z59))+AE59</f>
      </c>
      <c r="AB59" s="13">
        <v>0</v>
      </c>
      <c r="AC59" s="12">
        <f>MIN(3, SUMPRODUCT((MOD(Streak!C59:Z59,5)=0)*(MOD(Streak!C59:Z59,10)&lt;&gt;0)*(Streak!C59:Z59&gt;0))) * 5</f>
      </c>
      <c r="AD59" s="12">
        <f>MIN(2, SUMPRODUCT((MOD(Streak!C59:Z59,10)=0)*(Streak!C59:Z59&gt;0))) * 20</f>
      </c>
      <c r="AE59" s="11">
        <f>SUM(AC59:AD59)</f>
      </c>
    </row>
    <row customHeight="true" ht="19" r="60">
      <c r="A60" s="15">
        <v>56</v>
      </c>
      <c r="B60" s="16" t="str">
        <v>Ana Mega</v>
      </c>
      <c r="C60" s="18">
        <v>0</v>
      </c>
      <c r="D60" s="18">
        <v>0</v>
      </c>
      <c r="E60" s="9">
        <v>0</v>
      </c>
      <c r="F60" s="9">
        <v>1</v>
      </c>
      <c r="G60" s="9">
        <v>0</v>
      </c>
      <c r="H60" s="9">
        <v>0</v>
      </c>
      <c r="I60" s="9">
        <v>1</v>
      </c>
      <c r="J60" s="9">
        <v>1</v>
      </c>
      <c r="K60" s="9">
        <v>1</v>
      </c>
      <c r="L60" s="9">
        <v>0</v>
      </c>
      <c r="M60" s="9">
        <v>0</v>
      </c>
      <c r="N60" s="9">
        <v>0</v>
      </c>
      <c r="O60" s="9">
        <v>1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14">
        <f>(SUM(C60:Z60))+AE60</f>
      </c>
      <c r="AB60" s="13">
        <v>0</v>
      </c>
      <c r="AC60" s="12">
        <f>MIN(3, SUMPRODUCT((MOD(Streak!C60:Z60,5)=0)*(MOD(Streak!C60:Z60,10)&lt;&gt;0)*(Streak!C60:Z60&gt;0))) * 5</f>
      </c>
      <c r="AD60" s="12">
        <f>MIN(2, SUMPRODUCT((MOD(Streak!C60:Z60,10)=0)*(Streak!C60:Z60&gt;0))) * 20</f>
      </c>
      <c r="AE60" s="11">
        <f>SUM(AC60:AD60)</f>
      </c>
    </row>
    <row customHeight="true" ht="19" r="61">
      <c r="A61" s="15">
        <v>57</v>
      </c>
      <c r="B61" s="16" t="str">
        <v>anasta</v>
      </c>
      <c r="C61" s="18">
        <v>0</v>
      </c>
      <c r="D61" s="18">
        <v>0</v>
      </c>
      <c r="E61" s="9">
        <v>0</v>
      </c>
      <c r="F61" s="9">
        <v>1</v>
      </c>
      <c r="G61" s="9">
        <v>0</v>
      </c>
      <c r="H61" s="9">
        <v>0</v>
      </c>
      <c r="I61" s="9">
        <v>0</v>
      </c>
      <c r="J61" s="9">
        <v>1</v>
      </c>
      <c r="K61" s="9">
        <v>0</v>
      </c>
      <c r="L61" s="9">
        <v>0</v>
      </c>
      <c r="M61" s="9">
        <v>0</v>
      </c>
      <c r="N61" s="9">
        <v>1</v>
      </c>
      <c r="O61" s="9">
        <v>1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  <c r="V61" s="9">
        <v>1</v>
      </c>
      <c r="W61" s="9">
        <v>0</v>
      </c>
      <c r="X61" s="9">
        <v>0</v>
      </c>
      <c r="Y61" s="9">
        <v>0</v>
      </c>
      <c r="Z61" s="9">
        <v>0</v>
      </c>
      <c r="AA61" s="14">
        <f>(SUM(C61:Z61))+AE61</f>
      </c>
      <c r="AB61" s="13">
        <v>0</v>
      </c>
      <c r="AC61" s="12">
        <f>MIN(3, SUMPRODUCT((MOD(Streak!C61:Z61,5)=0)*(MOD(Streak!C61:Z61,10)&lt;&gt;0)*(Streak!C61:Z61&gt;0))) * 5</f>
      </c>
      <c r="AD61" s="12">
        <f>MIN(2, SUMPRODUCT((MOD(Streak!C61:Z61,10)=0)*(Streak!C61:Z61&gt;0))) * 20</f>
      </c>
      <c r="AE61" s="11">
        <f>SUM(AC61:AD61)</f>
      </c>
    </row>
    <row customHeight="true" ht="19" r="62">
      <c r="A62" s="15">
        <v>58</v>
      </c>
      <c r="B62" s="16" t="str">
        <v>Kurnia</v>
      </c>
      <c r="C62" s="18">
        <v>0</v>
      </c>
      <c r="D62" s="18">
        <v>0</v>
      </c>
      <c r="E62" s="9">
        <v>0</v>
      </c>
      <c r="F62" s="9">
        <v>1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14">
        <f>(SUM(C62:Z62))+AE62</f>
      </c>
      <c r="AB62" s="13">
        <v>0</v>
      </c>
      <c r="AC62" s="12">
        <f>MIN(3, SUMPRODUCT((MOD(Streak!C63:Z63,5)=0)*(MOD(Streak!C63:Z63,10)&lt;&gt;0)*(Streak!C63:Z63&gt;0))) * 5</f>
      </c>
      <c r="AD62" s="12">
        <f>MIN(2, SUMPRODUCT((MOD(Streak!C63:Z63,10)=0)*(Streak!C63:Z63&gt;0))) * 20</f>
      </c>
      <c r="AE62" s="11">
        <f>SUM(AC62:AD62)</f>
      </c>
    </row>
    <row customHeight="true" ht="19" r="63">
      <c r="A63" s="15">
        <v>59</v>
      </c>
      <c r="B63" s="16" t="str">
        <v>Yura Audi</v>
      </c>
      <c r="C63" s="18">
        <v>0</v>
      </c>
      <c r="D63" s="18">
        <v>0</v>
      </c>
      <c r="E63" s="9">
        <v>0</v>
      </c>
      <c r="F63" s="9">
        <v>1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  <c r="V63" s="9">
        <v>1</v>
      </c>
      <c r="W63" s="9">
        <v>0</v>
      </c>
      <c r="X63" s="9">
        <v>0</v>
      </c>
      <c r="Y63" s="9">
        <v>0</v>
      </c>
      <c r="Z63" s="9">
        <v>0</v>
      </c>
      <c r="AA63" s="14">
        <f>(SUM(C63:Z63))+AE63</f>
      </c>
      <c r="AB63" s="13">
        <v>0</v>
      </c>
      <c r="AC63" s="12">
        <f>MIN(3, SUMPRODUCT((MOD(Streak!C64:Z64,5)=0)*(MOD(Streak!C64:Z64,10)&lt;&gt;0)*(Streak!C64:Z64&gt;0))) * 5</f>
      </c>
      <c r="AD63" s="12">
        <f>MIN(2, SUMPRODUCT((MOD(Streak!C64:Z64,10)=0)*(Streak!C64:Z64&gt;0))) * 20</f>
      </c>
      <c r="AE63" s="11">
        <f>SUM(AC63:AD63)</f>
      </c>
    </row>
    <row customHeight="true" ht="19" r="64">
      <c r="A64" s="15">
        <v>60</v>
      </c>
      <c r="B64" s="16" t="str">
        <v>Liang</v>
      </c>
      <c r="C64" s="18">
        <v>0</v>
      </c>
      <c r="D64" s="18">
        <v>0</v>
      </c>
      <c r="E64" s="9">
        <v>0</v>
      </c>
      <c r="F64" s="9">
        <v>1</v>
      </c>
      <c r="G64" s="9">
        <v>0</v>
      </c>
      <c r="H64" s="9">
        <v>0</v>
      </c>
      <c r="I64" s="9">
        <v>0</v>
      </c>
      <c r="J64" s="9">
        <v>1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14">
        <f>(SUM(C64:Z64))+AE64</f>
      </c>
      <c r="AB64" s="13">
        <v>0</v>
      </c>
      <c r="AC64" s="12">
        <f>MIN(3, SUMPRODUCT((MOD(Streak!C65:Z65,5)=0)*(MOD(Streak!C65:Z65,10)&lt;&gt;0)*(Streak!C65:Z65&gt;0))) * 5</f>
      </c>
      <c r="AD64" s="12">
        <f>MIN(2, SUMPRODUCT((MOD(Streak!C65:Z65,10)=0)*(Streak!C65:Z65&gt;0))) * 20</f>
      </c>
      <c r="AE64" s="11">
        <f>SUM(AC64:AD64)</f>
      </c>
    </row>
    <row customHeight="true" ht="19" r="65">
      <c r="A65" s="15">
        <v>61</v>
      </c>
      <c r="B65" s="16" t="str">
        <v>Abu21</v>
      </c>
      <c r="C65" s="9">
        <v>0</v>
      </c>
      <c r="D65" s="9">
        <v>0</v>
      </c>
      <c r="E65" s="9">
        <v>0</v>
      </c>
      <c r="F65" s="9">
        <v>1</v>
      </c>
      <c r="G65" s="9">
        <v>1</v>
      </c>
      <c r="H65" s="9">
        <v>1</v>
      </c>
      <c r="I65" s="9">
        <v>1</v>
      </c>
      <c r="J65" s="9">
        <v>0</v>
      </c>
      <c r="K65" s="9">
        <v>1</v>
      </c>
      <c r="L65" s="9">
        <v>1</v>
      </c>
      <c r="M65" s="9">
        <v>0</v>
      </c>
      <c r="N65" s="9">
        <v>1</v>
      </c>
      <c r="O65" s="9">
        <v>1</v>
      </c>
      <c r="P65" s="9">
        <v>0</v>
      </c>
      <c r="Q65" s="9">
        <v>1</v>
      </c>
      <c r="R65" s="9">
        <v>0</v>
      </c>
      <c r="S65" s="9">
        <v>0</v>
      </c>
      <c r="T65" s="9">
        <v>0</v>
      </c>
      <c r="U65" s="9">
        <v>0</v>
      </c>
      <c r="V65" s="9">
        <v>1</v>
      </c>
      <c r="W65" s="9">
        <v>0</v>
      </c>
      <c r="X65" s="9">
        <v>0</v>
      </c>
      <c r="Y65" s="9">
        <v>0</v>
      </c>
      <c r="Z65" s="9">
        <v>0</v>
      </c>
      <c r="AA65" s="14">
        <f>(SUM(C65:Z65))+AE65</f>
      </c>
      <c r="AB65" s="13">
        <v>0</v>
      </c>
      <c r="AC65" s="12">
        <f>MIN(3, SUMPRODUCT((MOD(Streak!C66:Z66,5)=0)*(MOD(Streak!C66:Z66,10)&lt;&gt;0)*(Streak!C66:Z66&gt;0))) * 5</f>
      </c>
      <c r="AD65" s="12">
        <f>MIN(2, SUMPRODUCT((MOD(Streak!C66:Z66,10)=0)*(Streak!C66:Z66&gt;0))) * 20</f>
      </c>
      <c r="AE65" s="11">
        <f>SUM(AC65:AD65)</f>
      </c>
    </row>
    <row customHeight="true" ht="19" r="66">
      <c r="A66" s="15">
        <v>62</v>
      </c>
      <c r="B66" s="16" t="str">
        <v>Rusjuniarto</v>
      </c>
      <c r="C66" s="9">
        <v>0</v>
      </c>
      <c r="D66" s="9">
        <v>0</v>
      </c>
      <c r="E66" s="9">
        <v>0</v>
      </c>
      <c r="F66" s="9">
        <v>0</v>
      </c>
      <c r="G66" s="9">
        <v>1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14">
        <f>(SUM(C66:Z66))+AE66</f>
      </c>
      <c r="AB66" s="13">
        <v>0</v>
      </c>
      <c r="AC66" s="12">
        <f>MIN(3, SUMPRODUCT((MOD(Streak!C67:Z67,5)=0)*(MOD(Streak!C67:Z67,10)&lt;&gt;0)*(Streak!C67:Z67&gt;0))) * 5</f>
      </c>
      <c r="AD66" s="12">
        <f>MIN(2, SUMPRODUCT((MOD(Streak!C67:Z67,10)=0)*(Streak!C67:Z67&gt;0))) * 20</f>
      </c>
      <c r="AE66" s="11">
        <f>SUM(AC66:AD66)</f>
      </c>
    </row>
    <row customHeight="true" ht="19" r="67">
      <c r="A67" s="15">
        <v>63</v>
      </c>
      <c r="B67" s="16" t="str">
        <v>dad_MudR€_$</v>
      </c>
      <c r="C67" s="9">
        <v>0</v>
      </c>
      <c r="D67" s="9">
        <v>0</v>
      </c>
      <c r="E67" s="9">
        <v>0</v>
      </c>
      <c r="F67" s="9">
        <v>1</v>
      </c>
      <c r="G67" s="9">
        <v>0</v>
      </c>
      <c r="H67" s="9">
        <v>0</v>
      </c>
      <c r="I67" s="9">
        <v>1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1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0</v>
      </c>
      <c r="Z67" s="9">
        <v>0</v>
      </c>
      <c r="AA67" s="14">
        <f>(SUM(C67:Z67))+AE67</f>
      </c>
      <c r="AB67" s="13">
        <v>0</v>
      </c>
      <c r="AC67" s="12">
        <f>MIN(3, SUMPRODUCT((MOD(Streak!C68:Z68,5)=0)*(MOD(Streak!C68:Z68,10)&lt;&gt;0)*(Streak!C68:Z68&gt;0))) * 5</f>
      </c>
      <c r="AD67" s="12">
        <f>MIN(2, SUMPRODUCT((MOD(Streak!C68:Z68,10)=0)*(Streak!C68:Z68&gt;0))) * 20</f>
      </c>
      <c r="AE67" s="11">
        <f>SUM(AC67:AD67)</f>
      </c>
    </row>
    <row customHeight="true" ht="19" r="68">
      <c r="A68" s="15">
        <v>64</v>
      </c>
      <c r="B68" s="16" t="str" xml:space="preserve">
        <v>TakeProfit </v>
      </c>
      <c r="C68" s="9">
        <v>0</v>
      </c>
      <c r="D68" s="9">
        <v>0</v>
      </c>
      <c r="E68" s="9">
        <v>0</v>
      </c>
      <c r="F68" s="9">
        <v>1</v>
      </c>
      <c r="G68" s="9">
        <v>1</v>
      </c>
      <c r="H68" s="9">
        <v>1</v>
      </c>
      <c r="I68" s="9">
        <v>0</v>
      </c>
      <c r="J68" s="9">
        <v>0</v>
      </c>
      <c r="K68" s="9">
        <v>1</v>
      </c>
      <c r="L68" s="9">
        <v>1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1</v>
      </c>
      <c r="T68" s="9">
        <v>1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14">
        <f>(SUM(C68:Z68))+AE68</f>
      </c>
      <c r="AB68" s="13">
        <v>0</v>
      </c>
      <c r="AC68" s="12">
        <f>MIN(3, SUMPRODUCT((MOD(Streak!C69:Z69,5)=0)*(MOD(Streak!C69:Z69,10)&lt;&gt;0)*(Streak!C69:Z69&gt;0))) * 5</f>
      </c>
      <c r="AD68" s="12">
        <f>MIN(2, SUMPRODUCT((MOD(Streak!C69:Z69,10)=0)*(Streak!C69:Z69&gt;0))) * 20</f>
      </c>
      <c r="AE68" s="11">
        <f>SUM(AC68:AD68)</f>
      </c>
    </row>
    <row customHeight="true" ht="19" r="69">
      <c r="A69" s="15">
        <v>65</v>
      </c>
      <c r="B69" s="16" t="str">
        <v>Rakha</v>
      </c>
      <c r="C69" s="9">
        <v>0</v>
      </c>
      <c r="D69" s="9">
        <v>0</v>
      </c>
      <c r="E69" s="9">
        <v>0</v>
      </c>
      <c r="F69" s="9">
        <v>0</v>
      </c>
      <c r="G69" s="9">
        <v>1</v>
      </c>
      <c r="H69" s="9">
        <v>0</v>
      </c>
      <c r="I69" s="9">
        <v>1</v>
      </c>
      <c r="J69" s="9">
        <v>1</v>
      </c>
      <c r="K69" s="9">
        <v>1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  <c r="V69" s="9">
        <v>0</v>
      </c>
      <c r="W69" s="9">
        <v>0</v>
      </c>
      <c r="X69" s="9">
        <v>0</v>
      </c>
      <c r="Y69" s="9">
        <v>0</v>
      </c>
      <c r="Z69" s="9">
        <v>0</v>
      </c>
      <c r="AA69" s="14">
        <f>(SUM(C69:Z69))+AE69</f>
      </c>
      <c r="AB69" s="13">
        <v>0</v>
      </c>
      <c r="AC69" s="12">
        <f>MIN(3, SUMPRODUCT((MOD(Streak!C70:Z70,5)=0)*(MOD(Streak!C70:Z70,10)&lt;&gt;0)*(Streak!C70:Z70&gt;0))) * 5</f>
      </c>
      <c r="AD69" s="12">
        <f>MIN(2, SUMPRODUCT((MOD(Streak!C70:Z70,10)=0)*(Streak!C70:Z70&gt;0))) * 20</f>
      </c>
      <c r="AE69" s="11">
        <f>SUM(AC69:AD69)</f>
      </c>
    </row>
    <row customHeight="true" ht="19" r="70">
      <c r="A70" s="15">
        <v>66</v>
      </c>
      <c r="B70" s="16" t="str">
        <v>ahmadi_mad</v>
      </c>
      <c r="C70" s="9">
        <v>0</v>
      </c>
      <c r="D70" s="9">
        <v>0</v>
      </c>
      <c r="E70" s="9">
        <v>0</v>
      </c>
      <c r="F70" s="9">
        <v>0</v>
      </c>
      <c r="G70" s="9">
        <v>1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0</v>
      </c>
      <c r="Z70" s="9">
        <v>0</v>
      </c>
      <c r="AA70" s="14">
        <f>(SUM(C70:Z70))+AE70</f>
      </c>
      <c r="AB70" s="13">
        <v>0</v>
      </c>
      <c r="AC70" s="12">
        <f>MIN(3, SUMPRODUCT((MOD(Streak!C71:Z71,5)=0)*(MOD(Streak!C71:Z71,10)&lt;&gt;0)*(Streak!C71:Z71&gt;0))) * 5</f>
      </c>
      <c r="AD70" s="12">
        <f>MIN(2, SUMPRODUCT((MOD(Streak!C71:Z71,10)=0)*(Streak!C71:Z71&gt;0))) * 20</f>
      </c>
      <c r="AE70" s="11">
        <f>SUM(AC70:AD70)</f>
      </c>
    </row>
    <row customHeight="true" ht="19" r="71">
      <c r="A71" s="15">
        <v>67</v>
      </c>
      <c r="B71" s="16" t="str">
        <v>Syukron Kasir</v>
      </c>
      <c r="C71" s="9">
        <v>0</v>
      </c>
      <c r="D71" s="9">
        <v>0</v>
      </c>
      <c r="E71" s="9">
        <v>0</v>
      </c>
      <c r="F71" s="9">
        <v>0</v>
      </c>
      <c r="G71" s="9">
        <v>1</v>
      </c>
      <c r="H71" s="9">
        <v>0</v>
      </c>
      <c r="I71" s="9">
        <v>1</v>
      </c>
      <c r="J71" s="9">
        <v>0</v>
      </c>
      <c r="K71" s="9">
        <v>0</v>
      </c>
      <c r="L71" s="9">
        <v>1</v>
      </c>
      <c r="M71" s="9">
        <v>1</v>
      </c>
      <c r="N71" s="9">
        <v>0</v>
      </c>
      <c r="O71" s="9">
        <v>0</v>
      </c>
      <c r="P71" s="9">
        <v>0</v>
      </c>
      <c r="Q71" s="9">
        <v>1</v>
      </c>
      <c r="R71" s="9">
        <v>1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14">
        <f>(SUM(C71:Z71))+AE71</f>
      </c>
      <c r="AB71" s="13">
        <v>0</v>
      </c>
      <c r="AC71" s="12">
        <f>MIN(3, SUMPRODUCT((MOD(Streak!C72:Z72,5)=0)*(MOD(Streak!C72:Z72,10)&lt;&gt;0)*(Streak!C72:Z72&gt;0))) * 5</f>
      </c>
      <c r="AD71" s="12">
        <f>MIN(2, SUMPRODUCT((MOD(Streak!C72:Z72,10)=0)*(Streak!C72:Z72&gt;0))) * 20</f>
      </c>
      <c r="AE71" s="11">
        <f>SUM(AC71:AD71)</f>
      </c>
    </row>
    <row customHeight="true" ht="19" r="72">
      <c r="A72" s="15">
        <v>68</v>
      </c>
      <c r="B72" s="16" t="str">
        <v>$ Hmm $</v>
      </c>
      <c r="C72" s="9">
        <v>0</v>
      </c>
      <c r="D72" s="9">
        <v>0</v>
      </c>
      <c r="E72" s="9">
        <v>0</v>
      </c>
      <c r="F72" s="9">
        <v>0</v>
      </c>
      <c r="G72" s="9">
        <v>1</v>
      </c>
      <c r="H72" s="9">
        <v>0</v>
      </c>
      <c r="I72" s="9">
        <v>0</v>
      </c>
      <c r="J72" s="9">
        <v>0</v>
      </c>
      <c r="K72" s="9">
        <v>1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14">
        <f>(SUM(C72:Z72))+AE72</f>
      </c>
      <c r="AB72" s="13">
        <v>0</v>
      </c>
      <c r="AC72" s="12">
        <f>MIN(3, SUMPRODUCT((MOD(Streak!C73:Z73,5)=0)*(MOD(Streak!C73:Z73,10)&lt;&gt;0)*(Streak!C73:Z73&gt;0))) * 5</f>
      </c>
      <c r="AD72" s="12">
        <f>MIN(2, SUMPRODUCT((MOD(Streak!C73:Z73,10)=0)*(Streak!C73:Z73&gt;0))) * 20</f>
      </c>
      <c r="AE72" s="11">
        <f>SUM(AC72:AD72)</f>
      </c>
    </row>
    <row customHeight="true" ht="19" r="73">
      <c r="A73" s="15">
        <v>69</v>
      </c>
      <c r="B73" s="16" t="str">
        <v>Well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1</v>
      </c>
      <c r="I73" s="9">
        <v>0</v>
      </c>
      <c r="J73" s="9">
        <v>0</v>
      </c>
      <c r="K73" s="9">
        <v>1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1</v>
      </c>
      <c r="U73" s="9">
        <v>1</v>
      </c>
      <c r="V73" s="9">
        <v>1</v>
      </c>
      <c r="W73" s="9">
        <v>0</v>
      </c>
      <c r="X73" s="9">
        <v>0</v>
      </c>
      <c r="Y73" s="9">
        <v>0</v>
      </c>
      <c r="Z73" s="9">
        <v>0</v>
      </c>
      <c r="AA73" s="14">
        <f>(SUM(C73:Z73))+AE73</f>
      </c>
      <c r="AB73" s="13">
        <v>0</v>
      </c>
      <c r="AC73" s="12">
        <f>MIN(3, SUMPRODUCT((MOD(Streak!C74:Z74,5)=0)*(MOD(Streak!C74:Z74,10)&lt;&gt;0)*(Streak!C74:Z74&gt;0))) * 5</f>
      </c>
      <c r="AD73" s="12">
        <f>MIN(2, SUMPRODUCT((MOD(Streak!C74:Z74,10)=0)*(Streak!C74:Z74&gt;0))) * 20</f>
      </c>
      <c r="AE73" s="11">
        <f>SUM(AC73:AD73)</f>
      </c>
    </row>
    <row customHeight="true" ht="19" r="74">
      <c r="A74" s="15">
        <v>70</v>
      </c>
      <c r="B74" s="16" t="str">
        <v>Gino567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1</v>
      </c>
      <c r="I74" s="9">
        <v>1</v>
      </c>
      <c r="J74" s="9">
        <v>1</v>
      </c>
      <c r="K74" s="9">
        <v>1</v>
      </c>
      <c r="L74" s="9">
        <v>1</v>
      </c>
      <c r="M74" s="9">
        <v>1</v>
      </c>
      <c r="N74" s="9">
        <v>1</v>
      </c>
      <c r="O74" s="9">
        <v>1</v>
      </c>
      <c r="P74" s="9">
        <v>1</v>
      </c>
      <c r="Q74" s="9">
        <v>1</v>
      </c>
      <c r="R74" s="9">
        <v>1</v>
      </c>
      <c r="S74" s="9">
        <v>1</v>
      </c>
      <c r="T74" s="9">
        <v>1</v>
      </c>
      <c r="U74" s="9">
        <v>1</v>
      </c>
      <c r="V74" s="9">
        <v>1</v>
      </c>
      <c r="W74" s="9">
        <v>0</v>
      </c>
      <c r="X74" s="9">
        <v>0</v>
      </c>
      <c r="Y74" s="9">
        <v>0</v>
      </c>
      <c r="Z74" s="9">
        <v>0</v>
      </c>
      <c r="AA74" s="14">
        <f>(SUM(C74:Z74))+AE74</f>
      </c>
      <c r="AB74" s="13">
        <v>0</v>
      </c>
      <c r="AC74" s="12">
        <f>MIN(3, SUMPRODUCT((MOD(Streak!C75:Z75,5)=0)*(MOD(Streak!C75:Z75,10)&lt;&gt;0)*(Streak!C75:Z75&gt;0))) * 5</f>
      </c>
      <c r="AD74" s="12">
        <f>MIN(2, SUMPRODUCT((MOD(Streak!C75:Z75,10)=0)*(Streak!C75:Z75&gt;0))) * 20</f>
      </c>
      <c r="AE74" s="11">
        <f>SUM(AC74:AD74)</f>
      </c>
    </row>
    <row customHeight="true" ht="19" r="75">
      <c r="A75" s="15">
        <v>71</v>
      </c>
      <c r="B75" s="16" t="str">
        <v>Aprison Sitohang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1</v>
      </c>
      <c r="I75" s="9">
        <v>0</v>
      </c>
      <c r="J75" s="9">
        <v>0</v>
      </c>
      <c r="K75" s="9">
        <v>1</v>
      </c>
      <c r="L75" s="9">
        <v>0</v>
      </c>
      <c r="M75" s="9">
        <v>1</v>
      </c>
      <c r="N75" s="9">
        <v>0</v>
      </c>
      <c r="O75" s="9">
        <v>0</v>
      </c>
      <c r="P75" s="9">
        <v>1</v>
      </c>
      <c r="Q75" s="9">
        <v>1</v>
      </c>
      <c r="R75" s="9">
        <v>0</v>
      </c>
      <c r="S75" s="9">
        <v>1</v>
      </c>
      <c r="T75" s="9">
        <v>1</v>
      </c>
      <c r="U75" s="9">
        <v>1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14">
        <f>(SUM(C75:Z75))+AE75</f>
      </c>
      <c r="AB75" s="13">
        <v>0</v>
      </c>
      <c r="AC75" s="12">
        <f>MIN(3, SUMPRODUCT((MOD(Streak!C76:Z76,5)=0)*(MOD(Streak!C76:Z76,10)&lt;&gt;0)*(Streak!C76:Z76&gt;0))) * 5</f>
      </c>
      <c r="AD75" s="12">
        <f>MIN(2, SUMPRODUCT((MOD(Streak!C76:Z76,10)=0)*(Streak!C76:Z76&gt;0))) * 20</f>
      </c>
      <c r="AE75" s="11">
        <f>SUM(AC75:AD75)</f>
      </c>
    </row>
    <row customHeight="true" ht="19" r="76">
      <c r="A76" s="15">
        <v>72</v>
      </c>
      <c r="B76" s="16" t="str">
        <v>mlt.b4ndung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1</v>
      </c>
      <c r="I76" s="9">
        <v>1</v>
      </c>
      <c r="J76" s="9">
        <v>1</v>
      </c>
      <c r="K76" s="9">
        <v>1</v>
      </c>
      <c r="L76" s="9">
        <v>1</v>
      </c>
      <c r="M76" s="9">
        <v>1</v>
      </c>
      <c r="N76" s="9">
        <v>1</v>
      </c>
      <c r="O76" s="9">
        <v>1</v>
      </c>
      <c r="P76" s="9">
        <v>1</v>
      </c>
      <c r="Q76" s="9">
        <v>1</v>
      </c>
      <c r="R76" s="9">
        <v>1</v>
      </c>
      <c r="S76" s="9">
        <v>1</v>
      </c>
      <c r="T76" s="9">
        <v>1</v>
      </c>
      <c r="U76" s="9">
        <v>1</v>
      </c>
      <c r="V76" s="9">
        <v>1</v>
      </c>
      <c r="W76" s="9">
        <v>0</v>
      </c>
      <c r="X76" s="9">
        <v>0</v>
      </c>
      <c r="Y76" s="9">
        <v>0</v>
      </c>
      <c r="Z76" s="9">
        <v>0</v>
      </c>
      <c r="AA76" s="14">
        <f>(SUM(C76:Z76))+AE76</f>
      </c>
      <c r="AB76" s="13">
        <v>0</v>
      </c>
      <c r="AC76" s="12">
        <f>MIN(3, SUMPRODUCT((MOD(Streak!C77:Z77,5)=0)*(MOD(Streak!C77:Z77,10)&lt;&gt;0)*(Streak!C77:Z77&gt;0))) * 5</f>
      </c>
      <c r="AD76" s="12">
        <f>MIN(2, SUMPRODUCT((MOD(Streak!C77:Z77,10)=0)*(Streak!C77:Z77&gt;0))) * 20</f>
      </c>
      <c r="AE76" s="11">
        <f>SUM(AC76:AD76)</f>
      </c>
    </row>
    <row customHeight="true" ht="19" r="77">
      <c r="A77" s="15">
        <v>73</v>
      </c>
      <c r="B77" s="16" t="str">
        <v>Joseph Lodewyk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1</v>
      </c>
      <c r="I77" s="9">
        <v>0</v>
      </c>
      <c r="J77" s="9">
        <v>0</v>
      </c>
      <c r="K77" s="9">
        <v>0</v>
      </c>
      <c r="L77" s="9">
        <v>0</v>
      </c>
      <c r="M77" s="9">
        <v>1</v>
      </c>
      <c r="N77" s="9">
        <v>0</v>
      </c>
      <c r="O77" s="9">
        <v>0</v>
      </c>
      <c r="P77" s="9">
        <v>0</v>
      </c>
      <c r="Q77" s="9">
        <v>1</v>
      </c>
      <c r="R77" s="9">
        <v>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0</v>
      </c>
      <c r="Z77" s="9">
        <v>0</v>
      </c>
      <c r="AA77" s="14">
        <f>(SUM(C77:Z77))+AE77</f>
      </c>
      <c r="AB77" s="13">
        <v>0</v>
      </c>
      <c r="AC77" s="12">
        <f>MIN(3, SUMPRODUCT((MOD(Streak!C78:Z78,5)=0)*(MOD(Streak!C78:Z78,10)&lt;&gt;0)*(Streak!C78:Z78&gt;0))) * 5</f>
      </c>
      <c r="AD77" s="12">
        <f>MIN(2, SUMPRODUCT((MOD(Streak!C78:Z78,10)=0)*(Streak!C78:Z78&gt;0))) * 20</f>
      </c>
      <c r="AE77" s="11">
        <f>SUM(AC77:AD77)</f>
      </c>
    </row>
    <row customHeight="true" ht="19" r="78">
      <c r="A78" s="15">
        <v>74</v>
      </c>
      <c r="B78" s="17" t="str">
        <v>Boz Muda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1</v>
      </c>
      <c r="I78" s="9">
        <v>1</v>
      </c>
      <c r="J78" s="9">
        <v>0</v>
      </c>
      <c r="K78" s="9">
        <v>0</v>
      </c>
      <c r="L78" s="9">
        <v>1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9">
        <v>0</v>
      </c>
      <c r="U78" s="9">
        <v>0</v>
      </c>
      <c r="V78" s="9">
        <v>0</v>
      </c>
      <c r="W78" s="9">
        <v>0</v>
      </c>
      <c r="X78" s="9">
        <v>0</v>
      </c>
      <c r="Y78" s="9">
        <v>0</v>
      </c>
      <c r="Z78" s="9">
        <v>0</v>
      </c>
      <c r="AA78" s="14">
        <f>(SUM(C78:Z78))+AE78</f>
      </c>
      <c r="AB78" s="13">
        <v>0</v>
      </c>
      <c r="AC78" s="12">
        <f>MIN(3, SUMPRODUCT((MOD(Streak!C79:Z79,5)=0)*(MOD(Streak!C79:Z79,10)&lt;&gt;0)*(Streak!C79:Z79&gt;0))) * 5</f>
      </c>
      <c r="AD78" s="12">
        <f>MIN(2, SUMPRODUCT((MOD(Streak!C79:Z79,10)=0)*(Streak!C79:Z79&gt;0))) * 20</f>
      </c>
      <c r="AE78" s="11">
        <f>SUM(AC78:AD78)</f>
      </c>
    </row>
    <row customHeight="true" ht="19" r="79">
      <c r="A79" s="15">
        <v>75</v>
      </c>
      <c r="B79" s="16" t="str">
        <v>Bosque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1</v>
      </c>
      <c r="I79" s="9">
        <v>0</v>
      </c>
      <c r="J79" s="9">
        <v>1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1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14">
        <f>(SUM(C79:Z79))+AE79</f>
      </c>
      <c r="AB79" s="13">
        <v>0</v>
      </c>
      <c r="AC79" s="12">
        <f>MIN(3, SUMPRODUCT((MOD(Streak!C80:Z80,5)=0)*(MOD(Streak!C80:Z80,10)&lt;&gt;0)*(Streak!C80:Z80&gt;0))) * 5</f>
      </c>
      <c r="AD79" s="12">
        <f>MIN(2, SUMPRODUCT((MOD(Streak!C80:Z80,10)=0)*(Streak!C80:Z80&gt;0))) * 20</f>
      </c>
      <c r="AE79" s="11">
        <f>SUM(AC79:AD79)</f>
      </c>
    </row>
    <row customHeight="true" ht="19" r="80">
      <c r="A80" s="15">
        <v>76</v>
      </c>
      <c r="B80" s="16" t="str">
        <v>Rifanz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1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0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14">
        <f>(SUM(C80:Z80))+AE80</f>
      </c>
      <c r="AB80" s="13">
        <v>0</v>
      </c>
      <c r="AC80" s="12">
        <f>MIN(3, SUMPRODUCT((MOD(Streak!C81:Z81,5)=0)*(MOD(Streak!C81:Z81,10)&lt;&gt;0)*(Streak!C81:Z81&gt;0))) * 5</f>
      </c>
      <c r="AD80" s="12">
        <f>MIN(2, SUMPRODUCT((MOD(Streak!C81:Z81,10)=0)*(Streak!C81:Z81&gt;0))) * 20</f>
      </c>
      <c r="AE80" s="11">
        <f>SUM(AC80:AD80)</f>
      </c>
    </row>
    <row customHeight="true" ht="19" r="81">
      <c r="A81" s="15">
        <v>77</v>
      </c>
      <c r="B81" s="16" t="str">
        <v>FebryanArif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1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1</v>
      </c>
      <c r="Q81" s="9">
        <v>0</v>
      </c>
      <c r="R81" s="9">
        <v>0</v>
      </c>
      <c r="S81" s="9">
        <v>1</v>
      </c>
      <c r="T81" s="9">
        <v>1</v>
      </c>
      <c r="U81" s="9">
        <v>1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14">
        <f>(SUM(C81:Z81))+AE81</f>
      </c>
      <c r="AB81" s="13">
        <v>0</v>
      </c>
      <c r="AC81" s="12">
        <f>MIN(3, SUMPRODUCT((MOD(Streak!C82:Z82,5)=0)*(MOD(Streak!C82:Z82,10)&lt;&gt;0)*(Streak!C82:Z82&gt;0))) * 5</f>
      </c>
      <c r="AD81" s="12">
        <f>MIN(2, SUMPRODUCT((MOD(Streak!C82:Z82,10)=0)*(Streak!C82:Z82&gt;0))) * 20</f>
      </c>
      <c r="AE81" s="11">
        <f>SUM(AC81:AD81)</f>
      </c>
    </row>
    <row customHeight="true" ht="19" r="82">
      <c r="A82" s="15">
        <v>78</v>
      </c>
      <c r="B82" s="16" t="str">
        <v>Mr.M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1</v>
      </c>
      <c r="I82" s="9">
        <v>1</v>
      </c>
      <c r="J82" s="9">
        <v>0</v>
      </c>
      <c r="K82" s="9">
        <v>0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1</v>
      </c>
      <c r="R82" s="9">
        <v>1</v>
      </c>
      <c r="S82" s="9">
        <v>0</v>
      </c>
      <c r="T82" s="9">
        <v>0</v>
      </c>
      <c r="U82" s="9">
        <v>0</v>
      </c>
      <c r="V82" s="9">
        <v>0</v>
      </c>
      <c r="W82" s="9">
        <v>0</v>
      </c>
      <c r="X82" s="9">
        <v>0</v>
      </c>
      <c r="Y82" s="9">
        <v>0</v>
      </c>
      <c r="Z82" s="9">
        <v>0</v>
      </c>
      <c r="AA82" s="14">
        <f>(SUM(C82:Z82))+AE82</f>
      </c>
      <c r="AB82" s="13">
        <v>0</v>
      </c>
      <c r="AC82" s="12">
        <f>MIN(3, SUMPRODUCT((MOD(Streak!C83:Z83,5)=0)*(MOD(Streak!C83:Z83,10)&lt;&gt;0)*(Streak!C83:Z83&gt;0))) * 5</f>
      </c>
      <c r="AD82" s="12">
        <f>MIN(2, SUMPRODUCT((MOD(Streak!C83:Z83,10)=0)*(Streak!C83:Z83&gt;0))) * 20</f>
      </c>
      <c r="AE82" s="11">
        <f>SUM(AC82:AD82)</f>
      </c>
    </row>
    <row customHeight="true" ht="19" r="83">
      <c r="A83" s="15">
        <v>79</v>
      </c>
      <c r="B83" s="16" t="str" xml:space="preserve">
        <v>Hadi Nansa 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1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0</v>
      </c>
      <c r="Y83" s="9">
        <v>0</v>
      </c>
      <c r="Z83" s="9">
        <v>0</v>
      </c>
      <c r="AA83" s="14">
        <f>(SUM(C83:Z83))+AE83</f>
      </c>
      <c r="AB83" s="13">
        <v>0</v>
      </c>
      <c r="AC83" s="12">
        <f>MIN(3, SUMPRODUCT((MOD(Streak!C84:Z84,5)=0)*(MOD(Streak!C84:Z84,10)&lt;&gt;0)*(Streak!C84:Z84&gt;0))) * 5</f>
      </c>
      <c r="AD83" s="12">
        <f>MIN(2, SUMPRODUCT((MOD(Streak!C84:Z84,10)=0)*(Streak!C84:Z84&gt;0))) * 20</f>
      </c>
      <c r="AE83" s="11">
        <f>SUM(AC83:AD83)</f>
      </c>
    </row>
    <row customHeight="true" ht="19" r="84">
      <c r="A84" s="15">
        <v>80</v>
      </c>
      <c r="B84" s="16" t="str">
        <v>Neko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1</v>
      </c>
      <c r="J84" s="9">
        <v>0</v>
      </c>
      <c r="K84" s="9">
        <v>1</v>
      </c>
      <c r="L84" s="9">
        <v>0</v>
      </c>
      <c r="M84" s="9">
        <v>1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9">
        <v>0</v>
      </c>
      <c r="U84" s="9">
        <v>0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14">
        <f>(SUM(C84:Z84))+AE84</f>
      </c>
      <c r="AB84" s="13">
        <v>0</v>
      </c>
      <c r="AC84" s="12">
        <f>MIN(3, SUMPRODUCT((MOD(Streak!C85:Z85,5)=0)*(MOD(Streak!C85:Z85,10)&lt;&gt;0)*(Streak!C85:Z85&gt;0))) * 5</f>
      </c>
      <c r="AD84" s="12">
        <f>MIN(2, SUMPRODUCT((MOD(Streak!C85:Z85,10)=0)*(Streak!C85:Z85&gt;0))) * 20</f>
      </c>
      <c r="AE84" s="11">
        <f>SUM(AC84:AD84)</f>
      </c>
    </row>
    <row customHeight="true" ht="19" r="85">
      <c r="A85" s="15">
        <v>81</v>
      </c>
      <c r="B85" s="16" t="str">
        <v>Yuyun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1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14">
        <f>(SUM(C85:Z85))+AE85</f>
      </c>
      <c r="AB85" s="13">
        <v>0</v>
      </c>
      <c r="AC85" s="12">
        <f>MIN(3, SUMPRODUCT((MOD(Streak!C86:Z86,5)=0)*(MOD(Streak!C86:Z86,10)&lt;&gt;0)*(Streak!C86:Z86&gt;0))) * 5</f>
      </c>
      <c r="AD85" s="12">
        <f>MIN(2, SUMPRODUCT((MOD(Streak!C86:Z86,10)=0)*(Streak!C86:Z86&gt;0))) * 20</f>
      </c>
      <c r="AE85" s="11">
        <f>SUM(AC85:AD85)</f>
      </c>
    </row>
    <row customHeight="true" ht="19" r="86">
      <c r="A86" s="15">
        <v>82</v>
      </c>
      <c r="B86" s="16" t="str" xml:space="preserve">
        <v>jwlry 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1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  <c r="U86" s="9">
        <v>0</v>
      </c>
      <c r="V86" s="9">
        <v>1</v>
      </c>
      <c r="W86" s="9">
        <v>0</v>
      </c>
      <c r="X86" s="9">
        <v>0</v>
      </c>
      <c r="Y86" s="9">
        <v>0</v>
      </c>
      <c r="Z86" s="9">
        <v>0</v>
      </c>
      <c r="AA86" s="14">
        <f>(SUM(C86:Z86))+AE86</f>
      </c>
      <c r="AB86" s="13">
        <v>0</v>
      </c>
      <c r="AC86" s="12">
        <f>MIN(3, SUMPRODUCT((MOD(Streak!C87:Z87,5)=0)*(MOD(Streak!C87:Z87,10)&lt;&gt;0)*(Streak!C87:Z87&gt;0))) * 5</f>
      </c>
      <c r="AD86" s="12">
        <f>MIN(2, SUMPRODUCT((MOD(Streak!C87:Z87,10)=0)*(Streak!C87:Z87&gt;0))) * 20</f>
      </c>
      <c r="AE86" s="11">
        <f>SUM(AC86:AD86)</f>
      </c>
    </row>
    <row customHeight="true" ht="19" r="87">
      <c r="A87" s="15">
        <v>83</v>
      </c>
      <c r="B87" s="16" t="str">
        <v>BAS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1</v>
      </c>
      <c r="J87" s="9">
        <v>0</v>
      </c>
      <c r="K87" s="9">
        <v>0</v>
      </c>
      <c r="L87" s="9">
        <v>1</v>
      </c>
      <c r="M87" s="9">
        <v>1</v>
      </c>
      <c r="N87" s="9">
        <v>1</v>
      </c>
      <c r="O87" s="9">
        <v>1</v>
      </c>
      <c r="P87" s="9">
        <v>1</v>
      </c>
      <c r="Q87" s="9">
        <v>0</v>
      </c>
      <c r="R87" s="9">
        <v>0</v>
      </c>
      <c r="S87" s="9">
        <v>0</v>
      </c>
      <c r="T87" s="9">
        <v>0</v>
      </c>
      <c r="U87" s="9">
        <v>0</v>
      </c>
      <c r="V87" s="9">
        <v>0</v>
      </c>
      <c r="W87" s="9">
        <v>0</v>
      </c>
      <c r="X87" s="9">
        <v>0</v>
      </c>
      <c r="Y87" s="9">
        <v>0</v>
      </c>
      <c r="Z87" s="9">
        <v>0</v>
      </c>
      <c r="AA87" s="14">
        <f>(SUM(C87:Z87))+AE87</f>
      </c>
      <c r="AB87" s="13">
        <v>0</v>
      </c>
      <c r="AC87" s="12">
        <f>MIN(3, SUMPRODUCT((MOD(Streak!C88:Z88,5)=0)*(MOD(Streak!C88:Z88,10)&lt;&gt;0)*(Streak!C88:Z88&gt;0))) * 5</f>
      </c>
      <c r="AD87" s="12">
        <f>MIN(2, SUMPRODUCT((MOD(Streak!C88:Z88,10)=0)*(Streak!C88:Z88&gt;0))) * 20</f>
      </c>
      <c r="AE87" s="11">
        <f>SUM(AC87:AD87)</f>
      </c>
    </row>
    <row customHeight="true" ht="19" r="88">
      <c r="A88" s="15">
        <v>84</v>
      </c>
      <c r="B88" s="16" t="str" xml:space="preserve">
        <v>Bedjo 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1</v>
      </c>
      <c r="J88" s="9">
        <v>0</v>
      </c>
      <c r="K88" s="9">
        <v>0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0</v>
      </c>
      <c r="R88" s="9">
        <v>0</v>
      </c>
      <c r="S88" s="9">
        <v>0</v>
      </c>
      <c r="T88" s="9">
        <v>0</v>
      </c>
      <c r="U88" s="9">
        <v>0</v>
      </c>
      <c r="V88" s="9">
        <v>0</v>
      </c>
      <c r="W88" s="9">
        <v>0</v>
      </c>
      <c r="X88" s="9">
        <v>0</v>
      </c>
      <c r="Y88" s="9">
        <v>0</v>
      </c>
      <c r="Z88" s="9">
        <v>0</v>
      </c>
      <c r="AA88" s="14">
        <f>(SUM(C88:Z88))+AE88</f>
      </c>
      <c r="AB88" s="13">
        <v>0</v>
      </c>
      <c r="AC88" s="12">
        <f>MIN(3, SUMPRODUCT((MOD(Streak!C89:Z89,5)=0)*(MOD(Streak!C89:Z89,10)&lt;&gt;0)*(Streak!C89:Z89&gt;0))) * 5</f>
      </c>
      <c r="AD88" s="12">
        <f>MIN(2, SUMPRODUCT((MOD(Streak!C89:Z89,10)=0)*(Streak!C89:Z89&gt;0))) * 20</f>
      </c>
      <c r="AE88" s="11">
        <f>SUM(AC88:AD88)</f>
      </c>
    </row>
    <row customHeight="true" ht="19" r="89">
      <c r="A89" s="15">
        <v>85</v>
      </c>
      <c r="B89" s="16" t="str">
        <v>DNS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1</v>
      </c>
      <c r="J89" s="9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0</v>
      </c>
      <c r="R89" s="9">
        <v>0</v>
      </c>
      <c r="S89" s="9">
        <v>0</v>
      </c>
      <c r="T89" s="9">
        <v>0</v>
      </c>
      <c r="U89" s="9">
        <v>1</v>
      </c>
      <c r="V89" s="9">
        <v>0</v>
      </c>
      <c r="W89" s="9">
        <v>0</v>
      </c>
      <c r="X89" s="9">
        <v>0</v>
      </c>
      <c r="Y89" s="9">
        <v>0</v>
      </c>
      <c r="Z89" s="9">
        <v>0</v>
      </c>
      <c r="AA89" s="14">
        <f>(SUM(C89:Z89))+AE89</f>
      </c>
      <c r="AB89" s="13">
        <v>0</v>
      </c>
      <c r="AC89" s="12">
        <f>MIN(3, SUMPRODUCT((MOD(Streak!C90:Z90,5)=0)*(MOD(Streak!C90:Z90,10)&lt;&gt;0)*(Streak!C90:Z90&gt;0))) * 5</f>
      </c>
      <c r="AD89" s="12">
        <f>MIN(2, SUMPRODUCT((MOD(Streak!C90:Z90,10)=0)*(Streak!C90:Z90&gt;0))) * 20</f>
      </c>
      <c r="AE89" s="11">
        <f>SUM(AC89:AD89)</f>
      </c>
    </row>
    <row customHeight="true" ht="19" r="90">
      <c r="A90" s="15">
        <v>86</v>
      </c>
      <c r="B90" s="16" t="str" xml:space="preserve">
        <v>emhadehanzs011196 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1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0</v>
      </c>
      <c r="R90" s="9">
        <v>0</v>
      </c>
      <c r="S90" s="9">
        <v>0</v>
      </c>
      <c r="T90" s="9">
        <v>0</v>
      </c>
      <c r="U90" s="9">
        <v>0</v>
      </c>
      <c r="V90" s="9">
        <v>0</v>
      </c>
      <c r="W90" s="9">
        <v>0</v>
      </c>
      <c r="X90" s="9">
        <v>0</v>
      </c>
      <c r="Y90" s="9">
        <v>0</v>
      </c>
      <c r="Z90" s="9">
        <v>0</v>
      </c>
      <c r="AA90" s="14">
        <f>(SUM(C90:Z90))+AE90</f>
      </c>
      <c r="AB90" s="13">
        <v>0</v>
      </c>
      <c r="AC90" s="12">
        <f>MIN(3, SUMPRODUCT((MOD(Streak!C91:Z91,5)=0)*(MOD(Streak!C91:Z91,10)&lt;&gt;0)*(Streak!C91:Z91&gt;0))) * 5</f>
      </c>
      <c r="AD90" s="12">
        <f>MIN(2, SUMPRODUCT((MOD(Streak!C91:Z91,10)=0)*(Streak!C91:Z91&gt;0))) * 20</f>
      </c>
      <c r="AE90" s="11">
        <f>SUM(AC90:AD90)</f>
      </c>
    </row>
    <row customHeight="true" ht="19" r="91">
      <c r="A91" s="15">
        <v>87</v>
      </c>
      <c r="B91" s="16" t="str">
        <v>GUSTI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1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0</v>
      </c>
      <c r="T91" s="9">
        <v>0</v>
      </c>
      <c r="U91" s="9">
        <v>0</v>
      </c>
      <c r="V91" s="9">
        <v>0</v>
      </c>
      <c r="W91" s="9">
        <v>0</v>
      </c>
      <c r="X91" s="9">
        <v>0</v>
      </c>
      <c r="Y91" s="9">
        <v>0</v>
      </c>
      <c r="Z91" s="9">
        <v>0</v>
      </c>
      <c r="AA91" s="14">
        <f>(SUM(C91:Z91))+AE91</f>
      </c>
      <c r="AB91" s="13">
        <v>0</v>
      </c>
      <c r="AC91" s="12">
        <f>MIN(3, SUMPRODUCT((MOD(Streak!C92:Z92,5)=0)*(MOD(Streak!C92:Z92,10)&lt;&gt;0)*(Streak!C92:Z92&gt;0))) * 5</f>
      </c>
      <c r="AD91" s="12">
        <f>MIN(2, SUMPRODUCT((MOD(Streak!C92:Z92,10)=0)*(Streak!C92:Z92&gt;0))) * 20</f>
      </c>
      <c r="AE91" s="11">
        <f>SUM(AC91:AD91)</f>
      </c>
    </row>
    <row customHeight="true" ht="19" r="92">
      <c r="A92" s="15">
        <v>88</v>
      </c>
      <c r="B92" s="16" t="str">
        <v>Mas Mudji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1</v>
      </c>
      <c r="K92" s="9">
        <v>0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  <c r="W92" s="9">
        <v>0</v>
      </c>
      <c r="X92" s="9">
        <v>0</v>
      </c>
      <c r="Y92" s="9">
        <v>0</v>
      </c>
      <c r="Z92" s="9">
        <v>0</v>
      </c>
      <c r="AA92" s="14">
        <f>(SUM(C92:Z92))+AE92</f>
      </c>
      <c r="AB92" s="13">
        <v>0</v>
      </c>
      <c r="AC92" s="12">
        <f>MIN(3, SUMPRODUCT((MOD(Streak!C93:Z93,5)=0)*(MOD(Streak!C93:Z93,10)&lt;&gt;0)*(Streak!C93:Z93&gt;0))) * 5</f>
      </c>
      <c r="AD92" s="12">
        <f>MIN(2, SUMPRODUCT((MOD(Streak!C93:Z93,10)=0)*(Streak!C93:Z93&gt;0))) * 20</f>
      </c>
      <c r="AE92" s="11">
        <f>SUM(AC92:AD92)</f>
      </c>
    </row>
    <row customHeight="true" ht="19" r="93">
      <c r="A93" s="15">
        <v>89</v>
      </c>
      <c r="B93" s="16" t="str">
        <v>Jaya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1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9">
        <v>0</v>
      </c>
      <c r="Y93" s="9">
        <v>0</v>
      </c>
      <c r="Z93" s="9">
        <v>0</v>
      </c>
      <c r="AA93" s="14">
        <f>(SUM(C93:Z93))+AE93</f>
      </c>
      <c r="AB93" s="13">
        <v>0</v>
      </c>
      <c r="AC93" s="12">
        <f>MIN(3, SUMPRODUCT((MOD(Streak!C94:Z94,5)=0)*(MOD(Streak!C94:Z94,10)&lt;&gt;0)*(Streak!C94:Z94&gt;0))) * 5</f>
      </c>
      <c r="AD93" s="12">
        <f>MIN(2, SUMPRODUCT((MOD(Streak!C94:Z94,10)=0)*(Streak!C94:Z94&gt;0))) * 20</f>
      </c>
      <c r="AE93" s="11">
        <f>SUM(AC93:AD93)</f>
      </c>
    </row>
    <row customHeight="true" ht="19" r="94">
      <c r="A94" s="15">
        <v>90</v>
      </c>
      <c r="B94" s="16" t="str" xml:space="preserve">
        <v>Vergil GOLD 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v>1</v>
      </c>
      <c r="K94" s="9">
        <v>1</v>
      </c>
      <c r="L94" s="9">
        <v>1</v>
      </c>
      <c r="M94" s="9">
        <v>1</v>
      </c>
      <c r="N94" s="9">
        <v>1</v>
      </c>
      <c r="O94" s="9">
        <v>0</v>
      </c>
      <c r="P94" s="9">
        <v>0</v>
      </c>
      <c r="Q94" s="9">
        <v>1</v>
      </c>
      <c r="R94" s="9">
        <v>1</v>
      </c>
      <c r="S94" s="9">
        <v>1</v>
      </c>
      <c r="T94" s="9">
        <v>1</v>
      </c>
      <c r="U94" s="9">
        <v>0</v>
      </c>
      <c r="V94" s="9">
        <v>0</v>
      </c>
      <c r="W94" s="9">
        <v>0</v>
      </c>
      <c r="X94" s="9">
        <v>0</v>
      </c>
      <c r="Y94" s="9">
        <v>0</v>
      </c>
      <c r="Z94" s="9">
        <v>0</v>
      </c>
      <c r="AA94" s="14">
        <f>(SUM(C94:Z94))+AE94</f>
      </c>
      <c r="AB94" s="13">
        <v>0</v>
      </c>
      <c r="AC94" s="12">
        <f>MIN(3, SUMPRODUCT((MOD(Streak!C95:Z95,5)=0)*(MOD(Streak!C95:Z95,10)&lt;&gt;0)*(Streak!C95:Z95&gt;0))) * 5</f>
      </c>
      <c r="AD94" s="12">
        <f>MIN(2, SUMPRODUCT((MOD(Streak!C95:Z95,10)=0)*(Streak!C95:Z95&gt;0))) * 20</f>
      </c>
      <c r="AE94" s="11">
        <f>SUM(AC94:AD94)</f>
      </c>
    </row>
    <row customHeight="true" ht="19" r="95">
      <c r="A95" s="15">
        <v>91</v>
      </c>
      <c r="B95" s="16" t="str" xml:space="preserve">
        <v>BoyXau 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1</v>
      </c>
      <c r="K95" s="9">
        <v>1</v>
      </c>
      <c r="L95" s="9">
        <v>1</v>
      </c>
      <c r="M95" s="9">
        <v>1</v>
      </c>
      <c r="N95" s="9">
        <v>0</v>
      </c>
      <c r="O95" s="9">
        <v>1</v>
      </c>
      <c r="P95" s="9">
        <v>0</v>
      </c>
      <c r="Q95" s="9">
        <v>0</v>
      </c>
      <c r="R95" s="9">
        <v>0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9">
        <v>0</v>
      </c>
      <c r="Y95" s="9">
        <v>0</v>
      </c>
      <c r="Z95" s="9">
        <v>0</v>
      </c>
      <c r="AA95" s="14">
        <f>(SUM(C95:Z95))+AE95</f>
      </c>
      <c r="AB95" s="13">
        <v>0</v>
      </c>
      <c r="AC95" s="12">
        <f>MIN(3, SUMPRODUCT((MOD(Streak!C96:Z96,5)=0)*(MOD(Streak!C96:Z96,10)&lt;&gt;0)*(Streak!C96:Z96&gt;0))) * 5</f>
      </c>
      <c r="AD95" s="12">
        <f>MIN(2, SUMPRODUCT((MOD(Streak!C96:Z96,10)=0)*(Streak!C96:Z96&gt;0))) * 20</f>
      </c>
      <c r="AE95" s="11">
        <f>SUM(AC95:AD95)</f>
      </c>
    </row>
    <row customHeight="true" ht="19" r="96">
      <c r="A96" s="15">
        <v>92</v>
      </c>
      <c r="B96" s="16" t="str" xml:space="preserve">
        <v>Dirty 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1</v>
      </c>
      <c r="K96" s="9">
        <v>0</v>
      </c>
      <c r="L96" s="9">
        <v>0</v>
      </c>
      <c r="M96" s="9">
        <v>0</v>
      </c>
      <c r="N96" s="9">
        <v>0</v>
      </c>
      <c r="O96" s="9">
        <v>0</v>
      </c>
      <c r="P96" s="9">
        <v>0</v>
      </c>
      <c r="Q96" s="9">
        <v>0</v>
      </c>
      <c r="R96" s="9">
        <v>1</v>
      </c>
      <c r="S96" s="9">
        <v>1</v>
      </c>
      <c r="T96" s="9">
        <v>0</v>
      </c>
      <c r="U96" s="9">
        <v>0</v>
      </c>
      <c r="V96" s="9">
        <v>0</v>
      </c>
      <c r="W96" s="9">
        <v>0</v>
      </c>
      <c r="X96" s="9">
        <v>0</v>
      </c>
      <c r="Y96" s="9">
        <v>0</v>
      </c>
      <c r="Z96" s="9">
        <v>0</v>
      </c>
      <c r="AA96" s="14">
        <f>(SUM(C96:Z96))+AE96</f>
      </c>
      <c r="AB96" s="13">
        <v>0</v>
      </c>
      <c r="AC96" s="12">
        <f>MIN(3, SUMPRODUCT((MOD(Streak!C97:Z97,5)=0)*(MOD(Streak!C97:Z97,10)&lt;&gt;0)*(Streak!C97:Z97&gt;0))) * 5</f>
      </c>
      <c r="AD96" s="12">
        <f>MIN(2, SUMPRODUCT((MOD(Streak!C97:Z97,10)=0)*(Streak!C97:Z97&gt;0))) * 20</f>
      </c>
      <c r="AE96" s="11">
        <f>SUM(AC96:AD96)</f>
      </c>
    </row>
    <row customHeight="true" ht="19" r="97">
      <c r="A97" s="15">
        <v>93</v>
      </c>
      <c r="B97" s="16" t="str">
        <v>sedap malam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1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14">
        <f>(SUM(C97:Z97))+AE97</f>
      </c>
      <c r="AB97" s="13">
        <v>0</v>
      </c>
      <c r="AC97" s="12">
        <f>MIN(3, SUMPRODUCT((MOD(Streak!C98:Z98,5)=0)*(MOD(Streak!C98:Z98,10)&lt;&gt;0)*(Streak!C98:Z98&gt;0))) * 5</f>
      </c>
      <c r="AD97" s="12">
        <f>MIN(2, SUMPRODUCT((MOD(Streak!C98:Z98,10)=0)*(Streak!C98:Z98&gt;0))) * 20</f>
      </c>
      <c r="AE97" s="11">
        <f>SUM(AC97:AD97)</f>
      </c>
    </row>
    <row customHeight="true" ht="19" r="98">
      <c r="A98" s="15">
        <v>94</v>
      </c>
      <c r="B98" s="16" t="str" xml:space="preserve">
        <v>Gluecklich 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1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  <c r="W98" s="9">
        <v>0</v>
      </c>
      <c r="X98" s="9">
        <v>0</v>
      </c>
      <c r="Y98" s="9">
        <v>0</v>
      </c>
      <c r="Z98" s="9">
        <v>0</v>
      </c>
      <c r="AA98" s="14">
        <f>(SUM(C98:Z98))+AE98</f>
      </c>
      <c r="AB98" s="13">
        <v>0</v>
      </c>
      <c r="AC98" s="12">
        <f>MIN(3, SUMPRODUCT((MOD(Streak!C99:Z99,5)=0)*(MOD(Streak!C99:Z99,10)&lt;&gt;0)*(Streak!C99:Z99&gt;0))) * 5</f>
      </c>
      <c r="AD98" s="12">
        <f>MIN(2, SUMPRODUCT((MOD(Streak!C99:Z99,10)=0)*(Streak!C99:Z99&gt;0))) * 20</f>
      </c>
      <c r="AE98" s="11">
        <f>SUM(AC98:AD98)</f>
      </c>
    </row>
    <row customHeight="true" ht="19" r="99">
      <c r="A99" s="15">
        <v>95</v>
      </c>
      <c r="B99" s="16" t="str" xml:space="preserve">
        <v> Bathy Acheh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1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1</v>
      </c>
      <c r="T99" s="9">
        <v>0</v>
      </c>
      <c r="U99" s="9">
        <v>1</v>
      </c>
      <c r="V99" s="9">
        <v>0</v>
      </c>
      <c r="W99" s="9">
        <v>0</v>
      </c>
      <c r="X99" s="9">
        <v>0</v>
      </c>
      <c r="Y99" s="9">
        <v>0</v>
      </c>
      <c r="Z99" s="9">
        <v>0</v>
      </c>
      <c r="AA99" s="14">
        <f>(SUM(C99:Z99))+AE99</f>
      </c>
      <c r="AB99" s="13">
        <v>0</v>
      </c>
      <c r="AC99" s="12">
        <f>MIN(3, SUMPRODUCT((MOD(Streak!C100:Z100,5)=0)*(MOD(Streak!C100:Z100,10)&lt;&gt;0)*(Streak!C100:Z100&gt;0))) * 5</f>
      </c>
      <c r="AD99" s="12">
        <f>MIN(2, SUMPRODUCT((MOD(Streak!C100:Z100,10)=0)*(Streak!C100:Z100&gt;0))) * 20</f>
      </c>
      <c r="AE99" s="11">
        <f>SUM(AC99:AD99)</f>
      </c>
    </row>
    <row customHeight="true" ht="19" r="100">
      <c r="A100" s="15">
        <v>96</v>
      </c>
      <c r="B100" s="16" t="str">
        <v>Deni Utama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1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0</v>
      </c>
      <c r="R100" s="9">
        <v>0</v>
      </c>
      <c r="S100" s="9">
        <v>0</v>
      </c>
      <c r="T100" s="9">
        <v>0</v>
      </c>
      <c r="U100" s="9">
        <v>0</v>
      </c>
      <c r="V100" s="9">
        <v>0</v>
      </c>
      <c r="W100" s="9">
        <v>0</v>
      </c>
      <c r="X100" s="9">
        <v>0</v>
      </c>
      <c r="Y100" s="9">
        <v>0</v>
      </c>
      <c r="Z100" s="9">
        <v>0</v>
      </c>
      <c r="AA100" s="14">
        <f>(SUM(C100:Z100))+AE100</f>
      </c>
      <c r="AB100" s="13">
        <v>0</v>
      </c>
      <c r="AC100" s="12">
        <f>MIN(3, SUMPRODUCT((MOD(Streak!C101:Z101,5)=0)*(MOD(Streak!C101:Z101,10)&lt;&gt;0)*(Streak!C101:Z101&gt;0))) * 5</f>
      </c>
      <c r="AD100" s="12">
        <f>MIN(2, SUMPRODUCT((MOD(Streak!C101:Z101,10)=0)*(Streak!C101:Z101&gt;0))) * 20</f>
      </c>
      <c r="AE100" s="11">
        <f>SUM(AC100:AD100)</f>
      </c>
    </row>
    <row customHeight="true" ht="19" r="101">
      <c r="A101" s="15">
        <v>97</v>
      </c>
      <c r="B101" s="16" t="str">
        <v>hiro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1</v>
      </c>
      <c r="L101" s="9">
        <v>1</v>
      </c>
      <c r="M101" s="9">
        <v>0</v>
      </c>
      <c r="N101" s="9">
        <v>1</v>
      </c>
      <c r="O101" s="9">
        <v>0</v>
      </c>
      <c r="P101" s="9">
        <v>0</v>
      </c>
      <c r="Q101" s="9">
        <v>0</v>
      </c>
      <c r="R101" s="9">
        <v>0</v>
      </c>
      <c r="S101" s="9">
        <v>0</v>
      </c>
      <c r="T101" s="9">
        <v>0</v>
      </c>
      <c r="U101" s="9">
        <v>0</v>
      </c>
      <c r="V101" s="9">
        <v>0</v>
      </c>
      <c r="W101" s="9">
        <v>0</v>
      </c>
      <c r="X101" s="9">
        <v>0</v>
      </c>
      <c r="Y101" s="9">
        <v>0</v>
      </c>
      <c r="Z101" s="9">
        <v>0</v>
      </c>
      <c r="AA101" s="14">
        <f>(SUM(C101:Z101))+AE101</f>
      </c>
      <c r="AB101" s="13">
        <v>0</v>
      </c>
      <c r="AC101" s="12">
        <f>MIN(3, SUMPRODUCT((MOD(Streak!C102:Z102,5)=0)*(MOD(Streak!C102:Z102,10)&lt;&gt;0)*(Streak!C102:Z102&gt;0))) * 5</f>
      </c>
      <c r="AD101" s="12">
        <f>MIN(2, SUMPRODUCT((MOD(Streak!C102:Z102,10)=0)*(Streak!C102:Z102&gt;0))) * 20</f>
      </c>
      <c r="AE101" s="11">
        <f>SUM(AC101:AD101)</f>
      </c>
    </row>
    <row customHeight="true" ht="19" r="102">
      <c r="A102" s="15">
        <v>98</v>
      </c>
      <c r="B102" s="16" t="str">
        <v>my melody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1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0</v>
      </c>
      <c r="S102" s="9">
        <v>0</v>
      </c>
      <c r="T102" s="9">
        <v>1</v>
      </c>
      <c r="U102" s="9">
        <v>0</v>
      </c>
      <c r="V102" s="9">
        <v>0</v>
      </c>
      <c r="W102" s="9">
        <v>0</v>
      </c>
      <c r="X102" s="9">
        <v>0</v>
      </c>
      <c r="Y102" s="9">
        <v>0</v>
      </c>
      <c r="Z102" s="9">
        <v>0</v>
      </c>
      <c r="AA102" s="14">
        <f>(SUM(C102:Z102))+AE102</f>
      </c>
      <c r="AB102" s="13">
        <v>0</v>
      </c>
      <c r="AC102" s="12">
        <f>MIN(3, SUMPRODUCT((MOD(Streak!C103:Z103,5)=0)*(MOD(Streak!C103:Z103,10)&lt;&gt;0)*(Streak!C103:Z103&gt;0))) * 5</f>
      </c>
      <c r="AD102" s="12">
        <f>MIN(2, SUMPRODUCT((MOD(Streak!C103:Z103,10)=0)*(Streak!C103:Z103&gt;0))) * 20</f>
      </c>
      <c r="AE102" s="11">
        <f>SUM(AC102:AD102)</f>
      </c>
    </row>
    <row customHeight="true" ht="19" r="103">
      <c r="A103" s="15">
        <v>99</v>
      </c>
      <c r="B103" s="16" t="str">
        <v>Vrendi Al Fatih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1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>
        <v>0</v>
      </c>
      <c r="T103" s="9">
        <v>0</v>
      </c>
      <c r="U103" s="9">
        <v>0</v>
      </c>
      <c r="V103" s="9">
        <v>0</v>
      </c>
      <c r="W103" s="9">
        <v>0</v>
      </c>
      <c r="X103" s="9">
        <v>0</v>
      </c>
      <c r="Y103" s="9">
        <v>0</v>
      </c>
      <c r="Z103" s="9">
        <v>0</v>
      </c>
      <c r="AA103" s="14">
        <f>(SUM(C103:Z103))+AE103</f>
      </c>
      <c r="AB103" s="13">
        <v>0</v>
      </c>
      <c r="AC103" s="12">
        <f>MIN(3, SUMPRODUCT((MOD(Streak!C104:Z104,5)=0)*(MOD(Streak!C104:Z104,10)&lt;&gt;0)*(Streak!C104:Z104&gt;0))) * 5</f>
      </c>
      <c r="AD103" s="12">
        <f>MIN(2, SUMPRODUCT((MOD(Streak!C104:Z104,10)=0)*(Streak!C104:Z104&gt;0))) * 20</f>
      </c>
      <c r="AE103" s="11">
        <f>SUM(AC103:AD103)</f>
      </c>
    </row>
    <row customHeight="true" ht="19" r="104">
      <c r="A104" s="15">
        <v>100</v>
      </c>
      <c r="B104" s="16" t="str">
        <v>shani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1</v>
      </c>
      <c r="M104" s="9">
        <v>0</v>
      </c>
      <c r="N104" s="9">
        <v>0</v>
      </c>
      <c r="O104" s="9">
        <v>1</v>
      </c>
      <c r="P104" s="9">
        <v>0</v>
      </c>
      <c r="Q104" s="9">
        <v>0</v>
      </c>
      <c r="R104" s="9">
        <v>1</v>
      </c>
      <c r="S104" s="9">
        <v>0</v>
      </c>
      <c r="T104" s="9">
        <v>0</v>
      </c>
      <c r="U104" s="9">
        <v>0</v>
      </c>
      <c r="V104" s="9">
        <v>0</v>
      </c>
      <c r="W104" s="9">
        <v>0</v>
      </c>
      <c r="X104" s="9">
        <v>0</v>
      </c>
      <c r="Y104" s="9">
        <v>0</v>
      </c>
      <c r="Z104" s="9">
        <v>0</v>
      </c>
      <c r="AA104" s="14">
        <f>(SUM(C104:Z104))+AE104</f>
      </c>
      <c r="AB104" s="13">
        <v>0</v>
      </c>
      <c r="AC104" s="12">
        <f>MIN(3, SUMPRODUCT((MOD(Streak!C105:Z105,5)=0)*(MOD(Streak!C105:Z105,10)&lt;&gt;0)*(Streak!C105:Z105&gt;0))) * 5</f>
      </c>
      <c r="AD104" s="12">
        <f>MIN(2, SUMPRODUCT((MOD(Streak!C105:Z105,10)=0)*(Streak!C105:Z105&gt;0))) * 20</f>
      </c>
      <c r="AE104" s="11">
        <f>SUM(AC104:AD104)</f>
      </c>
    </row>
    <row customHeight="true" ht="19" r="105">
      <c r="A105" s="15">
        <v>101</v>
      </c>
      <c r="B105" s="16" t="str" xml:space="preserve">
        <v>yy8702174 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v>0</v>
      </c>
      <c r="K105" s="9">
        <v>0</v>
      </c>
      <c r="L105" s="9">
        <v>1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>
        <v>0</v>
      </c>
      <c r="T105" s="9">
        <v>0</v>
      </c>
      <c r="U105" s="9">
        <v>0</v>
      </c>
      <c r="V105" s="9">
        <v>0</v>
      </c>
      <c r="W105" s="9">
        <v>0</v>
      </c>
      <c r="X105" s="9">
        <v>0</v>
      </c>
      <c r="Y105" s="9">
        <v>0</v>
      </c>
      <c r="Z105" s="9">
        <v>0</v>
      </c>
      <c r="AA105" s="14">
        <f>(SUM(C105:Z105))+AE105</f>
      </c>
      <c r="AB105" s="13">
        <v>0</v>
      </c>
      <c r="AC105" s="12">
        <f>MIN(3, SUMPRODUCT((MOD(Streak!C106:Z106,5)=0)*(MOD(Streak!C106:Z106,10)&lt;&gt;0)*(Streak!C106:Z106&gt;0))) * 5</f>
      </c>
      <c r="AD105" s="12">
        <f>MIN(2, SUMPRODUCT((MOD(Streak!C106:Z106,10)=0)*(Streak!C106:Z106&gt;0))) * 20</f>
      </c>
      <c r="AE105" s="11">
        <f>SUM(AC105:AD105)</f>
      </c>
    </row>
    <row customHeight="true" ht="19" r="106">
      <c r="A106" s="15">
        <v>102</v>
      </c>
      <c r="B106" s="16" t="str">
        <v>Gusuwanshi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1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0</v>
      </c>
      <c r="S106" s="9">
        <v>0</v>
      </c>
      <c r="T106" s="9">
        <v>0</v>
      </c>
      <c r="U106" s="9">
        <v>0</v>
      </c>
      <c r="V106" s="9">
        <v>0</v>
      </c>
      <c r="W106" s="9">
        <v>0</v>
      </c>
      <c r="X106" s="9">
        <v>0</v>
      </c>
      <c r="Y106" s="9">
        <v>0</v>
      </c>
      <c r="Z106" s="9">
        <v>0</v>
      </c>
      <c r="AA106" s="14">
        <f>(SUM(C106:Z106))+AE106</f>
      </c>
      <c r="AB106" s="13">
        <v>0</v>
      </c>
      <c r="AC106" s="12">
        <f>MIN(3, SUMPRODUCT((MOD(Streak!C107:Z107,5)=0)*(MOD(Streak!C107:Z107,10)&lt;&gt;0)*(Streak!C107:Z107&gt;0))) * 5</f>
      </c>
      <c r="AD106" s="12">
        <f>MIN(2, SUMPRODUCT((MOD(Streak!C107:Z107,10)=0)*(Streak!C107:Z107&gt;0))) * 20</f>
      </c>
      <c r="AE106" s="11">
        <f>SUM(AC106:AD106)</f>
      </c>
    </row>
    <row customHeight="true" ht="19" r="107">
      <c r="A107" s="15">
        <v>103</v>
      </c>
      <c r="B107" s="16" t="str">
        <v>NONA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1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9">
        <v>0</v>
      </c>
      <c r="U107" s="9">
        <v>0</v>
      </c>
      <c r="V107" s="9">
        <v>0</v>
      </c>
      <c r="W107" s="9">
        <v>0</v>
      </c>
      <c r="X107" s="9">
        <v>0</v>
      </c>
      <c r="Y107" s="9">
        <v>0</v>
      </c>
      <c r="Z107" s="9">
        <v>0</v>
      </c>
      <c r="AA107" s="14">
        <f>(SUM(C107:Z107))+AE107</f>
      </c>
      <c r="AB107" s="13">
        <v>0</v>
      </c>
      <c r="AC107" s="12">
        <f>MIN(3, SUMPRODUCT((MOD(Streak!C108:Z108,5)=0)*(MOD(Streak!C108:Z108,10)&lt;&gt;0)*(Streak!C108:Z108&gt;0))) * 5</f>
      </c>
      <c r="AD107" s="12">
        <f>MIN(2, SUMPRODUCT((MOD(Streak!C108:Z108,10)=0)*(Streak!C108:Z108&gt;0))) * 20</f>
      </c>
      <c r="AE107" s="11">
        <f>SUM(AC107:AD107)</f>
      </c>
    </row>
    <row customHeight="true" ht="19" r="108">
      <c r="A108" s="15">
        <v>104</v>
      </c>
      <c r="B108" s="16" t="str">
        <v>Y2J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v>0</v>
      </c>
      <c r="K108" s="9">
        <v>0</v>
      </c>
      <c r="L108" s="9">
        <v>0</v>
      </c>
      <c r="M108" s="9">
        <v>1</v>
      </c>
      <c r="N108" s="9">
        <v>0</v>
      </c>
      <c r="O108" s="9">
        <v>0</v>
      </c>
      <c r="P108" s="9">
        <v>1</v>
      </c>
      <c r="Q108" s="9">
        <v>0</v>
      </c>
      <c r="R108" s="9">
        <v>1</v>
      </c>
      <c r="S108" s="9">
        <v>1</v>
      </c>
      <c r="T108" s="9">
        <v>0</v>
      </c>
      <c r="U108" s="9">
        <v>0</v>
      </c>
      <c r="V108" s="9">
        <v>0</v>
      </c>
      <c r="W108" s="9">
        <v>0</v>
      </c>
      <c r="X108" s="9">
        <v>0</v>
      </c>
      <c r="Y108" s="9">
        <v>0</v>
      </c>
      <c r="Z108" s="9">
        <v>0</v>
      </c>
      <c r="AA108" s="14">
        <f>(SUM(C108:Z108))+AE108</f>
      </c>
      <c r="AB108" s="13">
        <v>0</v>
      </c>
      <c r="AC108" s="12">
        <f>MIN(3, SUMPRODUCT((MOD(Streak!C109:Z109,5)=0)*(MOD(Streak!C109:Z109,10)&lt;&gt;0)*(Streak!C109:Z109&gt;0))) * 5</f>
      </c>
      <c r="AD108" s="12">
        <f>MIN(2, SUMPRODUCT((MOD(Streak!C109:Z109,10)=0)*(Streak!C109:Z109&gt;0))) * 20</f>
      </c>
      <c r="AE108" s="11">
        <f>SUM(AC108:AD108)</f>
      </c>
    </row>
    <row customHeight="true" ht="19" r="109">
      <c r="A109" s="15">
        <v>105</v>
      </c>
      <c r="B109" s="16" t="str" xml:space="preserve">
        <v>Tony Great 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v>0</v>
      </c>
      <c r="K109" s="9">
        <v>0</v>
      </c>
      <c r="L109" s="9">
        <v>0</v>
      </c>
      <c r="M109" s="9">
        <v>1</v>
      </c>
      <c r="N109" s="9">
        <v>0</v>
      </c>
      <c r="O109" s="9">
        <v>0</v>
      </c>
      <c r="P109" s="9">
        <v>0</v>
      </c>
      <c r="Q109" s="9">
        <v>0</v>
      </c>
      <c r="R109" s="9">
        <v>0</v>
      </c>
      <c r="S109" s="9">
        <v>0</v>
      </c>
      <c r="T109" s="9">
        <v>0</v>
      </c>
      <c r="U109" s="9">
        <v>0</v>
      </c>
      <c r="V109" s="9">
        <v>0</v>
      </c>
      <c r="W109" s="9">
        <v>0</v>
      </c>
      <c r="X109" s="9">
        <v>0</v>
      </c>
      <c r="Y109" s="9">
        <v>0</v>
      </c>
      <c r="Z109" s="9">
        <v>0</v>
      </c>
      <c r="AA109" s="14">
        <f>(SUM(C109:Z109))+AE109</f>
      </c>
      <c r="AB109" s="13">
        <v>0</v>
      </c>
      <c r="AC109" s="12">
        <f>MIN(3, SUMPRODUCT((MOD(Streak!C110:Z110,5)=0)*(MOD(Streak!C110:Z110,10)&lt;&gt;0)*(Streak!C110:Z110&gt;0))) * 5</f>
      </c>
      <c r="AD109" s="12">
        <f>MIN(2, SUMPRODUCT((MOD(Streak!C110:Z110,10)=0)*(Streak!C110:Z110&gt;0))) * 20</f>
      </c>
      <c r="AE109" s="11">
        <f>SUM(AC109:AD109)</f>
      </c>
    </row>
    <row customHeight="true" ht="19" r="110">
      <c r="A110" s="15">
        <v>106</v>
      </c>
      <c r="B110" s="16" t="str">
        <v>April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v>0</v>
      </c>
      <c r="K110" s="9">
        <v>0</v>
      </c>
      <c r="L110" s="9">
        <v>0</v>
      </c>
      <c r="M110" s="9">
        <v>1</v>
      </c>
      <c r="N110" s="9">
        <v>0</v>
      </c>
      <c r="O110" s="9">
        <v>0</v>
      </c>
      <c r="P110" s="9">
        <v>1</v>
      </c>
      <c r="Q110" s="9">
        <v>0</v>
      </c>
      <c r="R110" s="9">
        <v>0</v>
      </c>
      <c r="S110" s="9">
        <v>0</v>
      </c>
      <c r="T110" s="9">
        <v>0</v>
      </c>
      <c r="U110" s="9">
        <v>0</v>
      </c>
      <c r="V110" s="9">
        <v>0</v>
      </c>
      <c r="W110" s="9">
        <v>0</v>
      </c>
      <c r="X110" s="9">
        <v>0</v>
      </c>
      <c r="Y110" s="9">
        <v>0</v>
      </c>
      <c r="Z110" s="9">
        <v>0</v>
      </c>
      <c r="AA110" s="14">
        <f>(SUM(C110:Z110))+AE110</f>
      </c>
      <c r="AB110" s="13">
        <v>0</v>
      </c>
      <c r="AC110" s="12">
        <f>MIN(3, SUMPRODUCT((MOD(Streak!C111:Z111,5)=0)*(MOD(Streak!C111:Z111,10)&lt;&gt;0)*(Streak!C111:Z111&gt;0))) * 5</f>
      </c>
      <c r="AD110" s="12">
        <f>MIN(2, SUMPRODUCT((MOD(Streak!C111:Z111,10)=0)*(Streak!C111:Z111&gt;0))) * 20</f>
      </c>
      <c r="AE110" s="11">
        <f>SUM(AC110:AD110)</f>
      </c>
    </row>
    <row customHeight="true" ht="19" r="111">
      <c r="A111" s="15">
        <v>107</v>
      </c>
      <c r="B111" s="16" t="str" xml:space="preserve">
        <v>Azlan_76Rav 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v>0</v>
      </c>
      <c r="K111" s="9">
        <v>0</v>
      </c>
      <c r="L111" s="9">
        <v>0</v>
      </c>
      <c r="M111" s="9">
        <v>1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9">
        <v>0</v>
      </c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9">
        <v>0</v>
      </c>
      <c r="AA111" s="14">
        <f>(SUM(C111:Z111))+AE111</f>
      </c>
      <c r="AB111" s="13">
        <v>0</v>
      </c>
      <c r="AC111" s="12">
        <f>MIN(3, SUMPRODUCT((MOD(Streak!C112:Z112,5)=0)*(MOD(Streak!C112:Z112,10)&lt;&gt;0)*(Streak!C112:Z112&gt;0))) * 5</f>
      </c>
      <c r="AD111" s="12">
        <f>MIN(2, SUMPRODUCT((MOD(Streak!C112:Z112,10)=0)*(Streak!C112:Z112&gt;0))) * 20</f>
      </c>
      <c r="AE111" s="11">
        <f>SUM(AC111:AD111)</f>
      </c>
    </row>
    <row customHeight="true" ht="19" r="112">
      <c r="A112" s="15">
        <v>108</v>
      </c>
      <c r="B112" s="16" t="str">
        <v>Bang Roy Pinter Mend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0</v>
      </c>
      <c r="M112" s="9">
        <v>1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9">
        <v>0</v>
      </c>
      <c r="U112" s="9">
        <v>0</v>
      </c>
      <c r="V112" s="9">
        <v>0</v>
      </c>
      <c r="W112" s="9">
        <v>0</v>
      </c>
      <c r="X112" s="9">
        <v>0</v>
      </c>
      <c r="Y112" s="9">
        <v>0</v>
      </c>
      <c r="Z112" s="9">
        <v>0</v>
      </c>
      <c r="AA112" s="14">
        <f>(SUM(C112:Z112))+AE112</f>
      </c>
      <c r="AB112" s="13">
        <v>0</v>
      </c>
      <c r="AC112" s="12">
        <f>MIN(3, SUMPRODUCT((MOD(Streak!C113:Z113,5)=0)*(MOD(Streak!C113:Z113,10)&lt;&gt;0)*(Streak!C113:Z113&gt;0))) * 5</f>
      </c>
      <c r="AD112" s="12">
        <f>MIN(2, SUMPRODUCT((MOD(Streak!C113:Z113,10)=0)*(Streak!C113:Z113&gt;0))) * 20</f>
      </c>
      <c r="AE112" s="11">
        <f>SUM(AC112:AD112)</f>
      </c>
    </row>
    <row customHeight="true" ht="19" r="113">
      <c r="A113" s="15">
        <v>109</v>
      </c>
      <c r="B113" s="16" t="str" xml:space="preserve">
        <v>Desi Coy 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1</v>
      </c>
      <c r="N113" s="9">
        <v>0</v>
      </c>
      <c r="O113" s="9">
        <v>0</v>
      </c>
      <c r="P113" s="9">
        <v>0</v>
      </c>
      <c r="Q113" s="9">
        <v>1</v>
      </c>
      <c r="R113" s="9">
        <v>0</v>
      </c>
      <c r="S113" s="9">
        <v>0</v>
      </c>
      <c r="T113" s="9">
        <v>1</v>
      </c>
      <c r="U113" s="9">
        <v>1</v>
      </c>
      <c r="V113" s="9">
        <v>0</v>
      </c>
      <c r="W113" s="9">
        <v>0</v>
      </c>
      <c r="X113" s="9">
        <v>0</v>
      </c>
      <c r="Y113" s="9">
        <v>0</v>
      </c>
      <c r="Z113" s="9">
        <v>0</v>
      </c>
      <c r="AA113" s="14">
        <f>(SUM(C113:Z113))+AE113</f>
      </c>
      <c r="AB113" s="13">
        <v>0</v>
      </c>
      <c r="AC113" s="12">
        <f>MIN(3, SUMPRODUCT((MOD(Streak!C114:Z114,5)=0)*(MOD(Streak!C114:Z114,10)&lt;&gt;0)*(Streak!C114:Z114&gt;0))) * 5</f>
      </c>
      <c r="AD113" s="12">
        <f>MIN(2, SUMPRODUCT((MOD(Streak!C114:Z114,10)=0)*(Streak!C114:Z114&gt;0))) * 20</f>
      </c>
      <c r="AE113" s="11">
        <f>SUM(AC113:AD113)</f>
      </c>
    </row>
    <row customHeight="true" ht="19" r="114">
      <c r="A114" s="15">
        <v>110</v>
      </c>
      <c r="B114" s="16" t="str" xml:space="preserve">
        <v> Kirana Ramadhani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v>0</v>
      </c>
      <c r="I114" s="9">
        <v>0</v>
      </c>
      <c r="J114" s="9">
        <v>0</v>
      </c>
      <c r="K114" s="9">
        <v>0</v>
      </c>
      <c r="L114" s="9">
        <v>0</v>
      </c>
      <c r="M114" s="9">
        <v>1</v>
      </c>
      <c r="N114" s="9">
        <v>0</v>
      </c>
      <c r="O114" s="9">
        <v>1</v>
      </c>
      <c r="P114" s="9">
        <v>0</v>
      </c>
      <c r="Q114" s="9">
        <v>0</v>
      </c>
      <c r="R114" s="9">
        <v>0</v>
      </c>
      <c r="S114" s="9">
        <v>0</v>
      </c>
      <c r="T114" s="9">
        <v>0</v>
      </c>
      <c r="U114" s="9">
        <v>0</v>
      </c>
      <c r="V114" s="9">
        <v>0</v>
      </c>
      <c r="W114" s="9">
        <v>0</v>
      </c>
      <c r="X114" s="9">
        <v>0</v>
      </c>
      <c r="Y114" s="9">
        <v>0</v>
      </c>
      <c r="Z114" s="9">
        <v>0</v>
      </c>
      <c r="AA114" s="14">
        <f>(SUM(C114:Z114))+AE114</f>
      </c>
      <c r="AB114" s="13">
        <v>0</v>
      </c>
      <c r="AC114" s="12">
        <f>MIN(3, SUMPRODUCT((MOD(Streak!C115:Z115,5)=0)*(MOD(Streak!C115:Z115,10)&lt;&gt;0)*(Streak!C115:Z115&gt;0))) * 5</f>
      </c>
      <c r="AD114" s="12">
        <f>MIN(2, SUMPRODUCT((MOD(Streak!C115:Z115,10)=0)*(Streak!C115:Z115&gt;0))) * 20</f>
      </c>
      <c r="AE114" s="11">
        <f>SUM(AC114:AD114)</f>
      </c>
    </row>
    <row customHeight="true" ht="19" r="115">
      <c r="A115" s="15">
        <v>111</v>
      </c>
      <c r="B115" s="16" t="str">
        <v>Apeng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1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9">
        <v>0</v>
      </c>
      <c r="U115" s="9">
        <v>0</v>
      </c>
      <c r="V115" s="9">
        <v>1</v>
      </c>
      <c r="W115" s="9">
        <v>0</v>
      </c>
      <c r="X115" s="9">
        <v>0</v>
      </c>
      <c r="Y115" s="9">
        <v>0</v>
      </c>
      <c r="Z115" s="9">
        <v>0</v>
      </c>
      <c r="AA115" s="14">
        <f>(SUM(C115:Z115))+AE115</f>
      </c>
      <c r="AB115" s="13">
        <v>0</v>
      </c>
      <c r="AC115" s="12">
        <f>MIN(3, SUMPRODUCT((MOD(Streak!C116:Z116,5)=0)*(MOD(Streak!C116:Z116,10)&lt;&gt;0)*(Streak!C116:Z116&gt;0))) * 5</f>
      </c>
      <c r="AD115" s="12">
        <f>MIN(2, SUMPRODUCT((MOD(Streak!C116:Z116,10)=0)*(Streak!C116:Z116&gt;0))) * 20</f>
      </c>
      <c r="AE115" s="11">
        <f>SUM(AC115:AD115)</f>
      </c>
    </row>
    <row customHeight="true" ht="19" r="116">
      <c r="A116" s="15">
        <v>112</v>
      </c>
      <c r="B116" s="16" t="str">
        <v>Kayden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v>0</v>
      </c>
      <c r="K116" s="9">
        <v>0</v>
      </c>
      <c r="L116" s="9">
        <v>0</v>
      </c>
      <c r="M116" s="9">
        <v>0</v>
      </c>
      <c r="N116" s="9">
        <v>1</v>
      </c>
      <c r="O116" s="9">
        <v>0</v>
      </c>
      <c r="P116" s="9">
        <v>0</v>
      </c>
      <c r="Q116" s="9">
        <v>0</v>
      </c>
      <c r="R116" s="9">
        <v>0</v>
      </c>
      <c r="S116" s="9">
        <v>0</v>
      </c>
      <c r="T116" s="9">
        <v>0</v>
      </c>
      <c r="U116" s="9">
        <v>0</v>
      </c>
      <c r="V116" s="9">
        <v>0</v>
      </c>
      <c r="W116" s="9">
        <v>0</v>
      </c>
      <c r="X116" s="9">
        <v>0</v>
      </c>
      <c r="Y116" s="9">
        <v>0</v>
      </c>
      <c r="Z116" s="9">
        <v>0</v>
      </c>
      <c r="AA116" s="14">
        <f>(SUM(C116:Z116))+AE116</f>
      </c>
      <c r="AB116" s="13">
        <v>0</v>
      </c>
      <c r="AC116" s="12">
        <f>MIN(3, SUMPRODUCT((MOD(Streak!C117:Z117,5)=0)*(MOD(Streak!C117:Z117,10)&lt;&gt;0)*(Streak!C117:Z117&gt;0))) * 5</f>
      </c>
      <c r="AD116" s="12">
        <f>MIN(2, SUMPRODUCT((MOD(Streak!C117:Z117,10)=0)*(Streak!C117:Z117&gt;0))) * 20</f>
      </c>
      <c r="AE116" s="11">
        <f>SUM(AC116:AD116)</f>
      </c>
    </row>
    <row customHeight="true" ht="19" r="117">
      <c r="A117" s="15">
        <v>113</v>
      </c>
      <c r="B117" s="16" t="str">
        <v>Dhoni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v>0</v>
      </c>
      <c r="K117" s="9">
        <v>0</v>
      </c>
      <c r="L117" s="9">
        <v>0</v>
      </c>
      <c r="M117" s="9">
        <v>0</v>
      </c>
      <c r="N117" s="9">
        <v>1</v>
      </c>
      <c r="O117" s="9">
        <v>0</v>
      </c>
      <c r="P117" s="9">
        <v>0</v>
      </c>
      <c r="Q117" s="9">
        <v>0</v>
      </c>
      <c r="R117" s="9">
        <v>0</v>
      </c>
      <c r="S117" s="9">
        <v>0</v>
      </c>
      <c r="T117" s="9">
        <v>0</v>
      </c>
      <c r="U117" s="9">
        <v>0</v>
      </c>
      <c r="V117" s="9">
        <v>0</v>
      </c>
      <c r="W117" s="9">
        <v>0</v>
      </c>
      <c r="X117" s="9">
        <v>0</v>
      </c>
      <c r="Y117" s="9">
        <v>0</v>
      </c>
      <c r="Z117" s="9">
        <v>0</v>
      </c>
      <c r="AA117" s="14">
        <f>(SUM(C117:Z117))+AE117</f>
      </c>
      <c r="AB117" s="13">
        <v>0</v>
      </c>
      <c r="AC117" s="12">
        <f>MIN(3, SUMPRODUCT((MOD(Streak!C118:Z118,5)=0)*(MOD(Streak!C118:Z118,10)&lt;&gt;0)*(Streak!C118:Z118&gt;0))) * 5</f>
      </c>
      <c r="AD117" s="12">
        <f>MIN(2, SUMPRODUCT((MOD(Streak!C118:Z118,10)=0)*(Streak!C118:Z118&gt;0))) * 20</f>
      </c>
      <c r="AE117" s="11">
        <f>SUM(AC117:AD117)</f>
      </c>
    </row>
    <row customHeight="true" ht="19" r="118">
      <c r="A118" s="15">
        <v>114</v>
      </c>
      <c r="B118" s="16" t="str">
        <v>Si Tampan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1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9">
        <v>0</v>
      </c>
      <c r="U118" s="9">
        <v>0</v>
      </c>
      <c r="V118" s="9">
        <v>0</v>
      </c>
      <c r="W118" s="9">
        <v>0</v>
      </c>
      <c r="X118" s="9">
        <v>0</v>
      </c>
      <c r="Y118" s="9">
        <v>0</v>
      </c>
      <c r="Z118" s="9">
        <v>0</v>
      </c>
      <c r="AA118" s="14">
        <f>(SUM(C118:Z118))+AE118</f>
      </c>
      <c r="AB118" s="13">
        <v>0</v>
      </c>
      <c r="AC118" s="12">
        <f>MIN(3, SUMPRODUCT((MOD(Streak!C119:Z119,5)=0)*(MOD(Streak!C119:Z119,10)&lt;&gt;0)*(Streak!C119:Z119&gt;0))) * 5</f>
      </c>
      <c r="AD118" s="12">
        <f>MIN(2, SUMPRODUCT((MOD(Streak!C119:Z119,10)=0)*(Streak!C119:Z119&gt;0))) * 20</f>
      </c>
      <c r="AE118" s="11">
        <f>SUM(AC118:AD118)</f>
      </c>
    </row>
    <row customHeight="true" ht="19" r="119">
      <c r="A119" s="15">
        <v>115</v>
      </c>
      <c r="B119" s="16" t="str">
        <v>Harly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1</v>
      </c>
      <c r="O119" s="9">
        <v>0</v>
      </c>
      <c r="P119" s="9">
        <v>0</v>
      </c>
      <c r="Q119" s="9">
        <v>0</v>
      </c>
      <c r="R119" s="9">
        <v>0</v>
      </c>
      <c r="S119" s="9">
        <v>0</v>
      </c>
      <c r="T119" s="9">
        <v>0</v>
      </c>
      <c r="U119" s="9">
        <v>0</v>
      </c>
      <c r="V119" s="9">
        <v>0</v>
      </c>
      <c r="W119" s="9">
        <v>0</v>
      </c>
      <c r="X119" s="9">
        <v>0</v>
      </c>
      <c r="Y119" s="9">
        <v>0</v>
      </c>
      <c r="Z119" s="9">
        <v>0</v>
      </c>
      <c r="AA119" s="14">
        <f>(SUM(C119:Z119))+AE119</f>
      </c>
      <c r="AB119" s="13">
        <v>0</v>
      </c>
      <c r="AC119" s="12">
        <f>MIN(3, SUMPRODUCT((MOD(Streak!C120:Z120,5)=0)*(MOD(Streak!C120:Z120,10)&lt;&gt;0)*(Streak!C120:Z120&gt;0))) * 5</f>
      </c>
      <c r="AD119" s="12">
        <f>MIN(2, SUMPRODUCT((MOD(Streak!C120:Z120,10)=0)*(Streak!C120:Z120&gt;0))) * 20</f>
      </c>
      <c r="AE119" s="11">
        <f>SUM(AC119:AD119)</f>
      </c>
    </row>
    <row customHeight="true" ht="19" r="120">
      <c r="A120" s="15">
        <v>116</v>
      </c>
      <c r="B120" s="16" t="str">
        <v>Raki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9">
        <v>1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9">
        <v>0</v>
      </c>
      <c r="U120" s="9">
        <v>0</v>
      </c>
      <c r="V120" s="9">
        <v>0</v>
      </c>
      <c r="W120" s="9">
        <v>0</v>
      </c>
      <c r="X120" s="9">
        <v>0</v>
      </c>
      <c r="Y120" s="9">
        <v>0</v>
      </c>
      <c r="Z120" s="9">
        <v>0</v>
      </c>
      <c r="AA120" s="14">
        <f>(SUM(C120:Z120))+AE120</f>
      </c>
      <c r="AB120" s="13">
        <v>0</v>
      </c>
      <c r="AC120" s="12">
        <f>MIN(3, SUMPRODUCT((MOD(Streak!C121:Z121,5)=0)*(MOD(Streak!C121:Z121,10)&lt;&gt;0)*(Streak!C121:Z121&gt;0))) * 5</f>
      </c>
      <c r="AD120" s="12">
        <f>MIN(2, SUMPRODUCT((MOD(Streak!C121:Z121,10)=0)*(Streak!C121:Z121&gt;0))) * 20</f>
      </c>
      <c r="AE120" s="11">
        <f>SUM(AC120:AD120)</f>
      </c>
    </row>
    <row customHeight="true" ht="19" r="121">
      <c r="A121" s="15">
        <v>117</v>
      </c>
      <c r="B121" s="16" t="str">
        <v>winner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0</v>
      </c>
      <c r="N121" s="9">
        <v>0</v>
      </c>
      <c r="O121" s="9">
        <v>1</v>
      </c>
      <c r="P121" s="9">
        <v>0</v>
      </c>
      <c r="Q121" s="9">
        <v>0</v>
      </c>
      <c r="R121" s="9">
        <v>0</v>
      </c>
      <c r="S121" s="9">
        <v>0</v>
      </c>
      <c r="T121" s="9">
        <v>0</v>
      </c>
      <c r="U121" s="9">
        <v>0</v>
      </c>
      <c r="V121" s="9">
        <v>0</v>
      </c>
      <c r="W121" s="9">
        <v>0</v>
      </c>
      <c r="X121" s="9">
        <v>0</v>
      </c>
      <c r="Y121" s="9">
        <v>0</v>
      </c>
      <c r="Z121" s="9">
        <v>0</v>
      </c>
      <c r="AA121" s="14">
        <f>(SUM(C121:Z121))+AE121</f>
      </c>
      <c r="AB121" s="13">
        <v>0</v>
      </c>
      <c r="AC121" s="12">
        <f>MIN(3, SUMPRODUCT((MOD(Streak!C122:Z122,5)=0)*(MOD(Streak!C122:Z122,10)&lt;&gt;0)*(Streak!C122:Z122&gt;0))) * 5</f>
      </c>
      <c r="AD121" s="12">
        <f>MIN(2, SUMPRODUCT((MOD(Streak!C122:Z122,10)=0)*(Streak!C122:Z122&gt;0))) * 20</f>
      </c>
      <c r="AE121" s="11">
        <f>SUM(AC121:AD121)</f>
      </c>
    </row>
    <row customHeight="true" ht="19" r="122">
      <c r="A122" s="15">
        <v>118</v>
      </c>
      <c r="B122" s="16" t="str">
        <v>wolvyzz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0</v>
      </c>
      <c r="M122" s="9">
        <v>0</v>
      </c>
      <c r="N122" s="9">
        <v>0</v>
      </c>
      <c r="O122" s="9">
        <v>1</v>
      </c>
      <c r="P122" s="9">
        <v>0</v>
      </c>
      <c r="Q122" s="9">
        <v>0</v>
      </c>
      <c r="R122" s="9">
        <v>0</v>
      </c>
      <c r="S122" s="9">
        <v>0</v>
      </c>
      <c r="T122" s="9">
        <v>0</v>
      </c>
      <c r="U122" s="9">
        <v>0</v>
      </c>
      <c r="V122" s="9">
        <v>0</v>
      </c>
      <c r="W122" s="9">
        <v>0</v>
      </c>
      <c r="X122" s="9">
        <v>0</v>
      </c>
      <c r="Y122" s="9">
        <v>0</v>
      </c>
      <c r="Z122" s="9">
        <v>0</v>
      </c>
      <c r="AA122" s="14">
        <f>(SUM(C122:Z122))+AE122</f>
      </c>
      <c r="AB122" s="13">
        <v>0</v>
      </c>
      <c r="AC122" s="12">
        <f>MIN(3, SUMPRODUCT((MOD(Streak!C123:Z123,5)=0)*(MOD(Streak!C123:Z123,10)&lt;&gt;0)*(Streak!C123:Z123&gt;0))) * 5</f>
      </c>
      <c r="AD122" s="12">
        <f>MIN(2, SUMPRODUCT((MOD(Streak!C123:Z123,10)=0)*(Streak!C123:Z123&gt;0))) * 20</f>
      </c>
      <c r="AE122" s="11">
        <f>SUM(AC122:AD122)</f>
      </c>
    </row>
    <row customHeight="true" ht="19" r="123">
      <c r="A123" s="15">
        <v>119</v>
      </c>
      <c r="B123" s="16" t="str">
        <v>Aceng Ceng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v>0</v>
      </c>
      <c r="K123" s="9">
        <v>0</v>
      </c>
      <c r="L123" s="9">
        <v>0</v>
      </c>
      <c r="M123" s="9">
        <v>0</v>
      </c>
      <c r="N123" s="9">
        <v>0</v>
      </c>
      <c r="O123" s="9">
        <v>1</v>
      </c>
      <c r="P123" s="9">
        <v>0</v>
      </c>
      <c r="Q123" s="9">
        <v>0</v>
      </c>
      <c r="R123" s="9">
        <v>0</v>
      </c>
      <c r="S123" s="9">
        <v>0</v>
      </c>
      <c r="T123" s="9">
        <v>0</v>
      </c>
      <c r="U123" s="9">
        <v>0</v>
      </c>
      <c r="V123" s="9">
        <v>0</v>
      </c>
      <c r="W123" s="9">
        <v>0</v>
      </c>
      <c r="X123" s="9">
        <v>0</v>
      </c>
      <c r="Y123" s="9">
        <v>0</v>
      </c>
      <c r="Z123" s="9">
        <v>0</v>
      </c>
      <c r="AA123" s="14">
        <f>(SUM(C123:Z123))+AE123</f>
      </c>
      <c r="AB123" s="13">
        <v>0</v>
      </c>
      <c r="AC123" s="12">
        <f>MIN(3, SUMPRODUCT((MOD(Streak!C124:Z124,5)=0)*(MOD(Streak!C124:Z124,10)&lt;&gt;0)*(Streak!C124:Z124&gt;0))) * 5</f>
      </c>
      <c r="AD123" s="12">
        <f>MIN(2, SUMPRODUCT((MOD(Streak!C124:Z124,10)=0)*(Streak!C124:Z124&gt;0))) * 20</f>
      </c>
      <c r="AE123" s="11">
        <f>SUM(AC123:AD123)</f>
      </c>
    </row>
    <row customHeight="true" ht="19" r="124">
      <c r="A124" s="15">
        <v>120</v>
      </c>
      <c r="B124" s="16" t="str">
        <v>Truk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v>0</v>
      </c>
      <c r="I124" s="9">
        <v>0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1</v>
      </c>
      <c r="P124" s="9">
        <v>0</v>
      </c>
      <c r="Q124" s="9">
        <v>0</v>
      </c>
      <c r="R124" s="9">
        <v>0</v>
      </c>
      <c r="S124" s="9">
        <v>0</v>
      </c>
      <c r="T124" s="9">
        <v>0</v>
      </c>
      <c r="U124" s="9">
        <v>0</v>
      </c>
      <c r="V124" s="9">
        <v>0</v>
      </c>
      <c r="W124" s="9">
        <v>0</v>
      </c>
      <c r="X124" s="9">
        <v>0</v>
      </c>
      <c r="Y124" s="9">
        <v>0</v>
      </c>
      <c r="Z124" s="9">
        <v>0</v>
      </c>
      <c r="AA124" s="14">
        <f>(SUM(C124:Z124))+AE124</f>
      </c>
      <c r="AB124" s="13">
        <v>0</v>
      </c>
      <c r="AC124" s="12">
        <f>MIN(3, SUMPRODUCT((MOD(Streak!C125:Z125,5)=0)*(MOD(Streak!C125:Z125,10)&lt;&gt;0)*(Streak!C125:Z125&gt;0))) * 5</f>
      </c>
      <c r="AD124" s="12">
        <f>MIN(2, SUMPRODUCT((MOD(Streak!C125:Z125,10)=0)*(Streak!C125:Z125&gt;0))) * 20</f>
      </c>
      <c r="AE124" s="11">
        <f>SUM(AC124:AD124)</f>
      </c>
    </row>
    <row customHeight="true" ht="19" r="125">
      <c r="A125" s="15">
        <v>121</v>
      </c>
      <c r="B125" s="16" t="str">
        <v>Rachel Kurniawati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v>0</v>
      </c>
      <c r="I125" s="9">
        <v>0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1</v>
      </c>
      <c r="P125" s="9">
        <v>0</v>
      </c>
      <c r="Q125" s="9">
        <v>0</v>
      </c>
      <c r="R125" s="9">
        <v>0</v>
      </c>
      <c r="S125" s="9">
        <v>0</v>
      </c>
      <c r="T125" s="9">
        <v>0</v>
      </c>
      <c r="U125" s="9">
        <v>0</v>
      </c>
      <c r="V125" s="9">
        <v>0</v>
      </c>
      <c r="W125" s="9">
        <v>0</v>
      </c>
      <c r="X125" s="9">
        <v>0</v>
      </c>
      <c r="Y125" s="9">
        <v>0</v>
      </c>
      <c r="Z125" s="9">
        <v>0</v>
      </c>
      <c r="AA125" s="14">
        <f>(SUM(C125:Z125))+AE125</f>
      </c>
      <c r="AB125" s="13">
        <v>0</v>
      </c>
      <c r="AC125" s="12">
        <f>MIN(3, SUMPRODUCT((MOD(Streak!C126:Z126,5)=0)*(MOD(Streak!C126:Z126,10)&lt;&gt;0)*(Streak!C126:Z126&gt;0))) * 5</f>
      </c>
      <c r="AD125" s="12">
        <f>MIN(2, SUMPRODUCT((MOD(Streak!C126:Z126,10)=0)*(Streak!C126:Z126&gt;0))) * 20</f>
      </c>
      <c r="AE125" s="11">
        <f>SUM(AC125:AD125)</f>
      </c>
    </row>
    <row customHeight="true" ht="19" r="126">
      <c r="A126" s="15">
        <v>122</v>
      </c>
      <c r="B126" s="16" t="str">
        <v>Etiarni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1</v>
      </c>
      <c r="Q126" s="9">
        <v>0</v>
      </c>
      <c r="R126" s="9">
        <v>0</v>
      </c>
      <c r="S126" s="9">
        <v>0</v>
      </c>
      <c r="T126" s="9">
        <v>0</v>
      </c>
      <c r="U126" s="9">
        <v>0</v>
      </c>
      <c r="V126" s="9">
        <v>0</v>
      </c>
      <c r="W126" s="9">
        <v>0</v>
      </c>
      <c r="X126" s="9">
        <v>0</v>
      </c>
      <c r="Y126" s="9">
        <v>0</v>
      </c>
      <c r="Z126" s="9">
        <v>0</v>
      </c>
      <c r="AA126" s="14">
        <f>(SUM(C126:Z126))+AE126</f>
      </c>
      <c r="AB126" s="13">
        <v>0</v>
      </c>
      <c r="AC126" s="12">
        <f>MIN(3, SUMPRODUCT((MOD(Streak!C127:Z127,5)=0)*(MOD(Streak!C127:Z127,10)&lt;&gt;0)*(Streak!C127:Z127&gt;0))) * 5</f>
      </c>
      <c r="AD126" s="12">
        <f>MIN(2, SUMPRODUCT((MOD(Streak!C127:Z127,10)=0)*(Streak!C127:Z127&gt;0))) * 20</f>
      </c>
      <c r="AE126" s="11">
        <f>SUM(AC126:AD126)</f>
      </c>
    </row>
    <row customHeight="true" ht="19" r="127">
      <c r="A127" s="15">
        <v>123</v>
      </c>
      <c r="B127" s="16" t="str">
        <v>Dwiyan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0</v>
      </c>
      <c r="M127" s="9">
        <v>0</v>
      </c>
      <c r="N127" s="9">
        <v>0</v>
      </c>
      <c r="O127" s="9">
        <v>0</v>
      </c>
      <c r="P127" s="9">
        <v>1</v>
      </c>
      <c r="Q127" s="9">
        <v>0</v>
      </c>
      <c r="R127" s="9">
        <v>0</v>
      </c>
      <c r="S127" s="9">
        <v>0</v>
      </c>
      <c r="T127" s="9">
        <v>0</v>
      </c>
      <c r="U127" s="9">
        <v>0</v>
      </c>
      <c r="V127" s="9">
        <v>0</v>
      </c>
      <c r="W127" s="9">
        <v>0</v>
      </c>
      <c r="X127" s="9">
        <v>0</v>
      </c>
      <c r="Y127" s="9">
        <v>0</v>
      </c>
      <c r="Z127" s="9">
        <v>0</v>
      </c>
      <c r="AA127" s="14">
        <f>(SUM(C127:Z127))+AE127</f>
      </c>
      <c r="AB127" s="13">
        <v>0</v>
      </c>
      <c r="AC127" s="12">
        <f>MIN(3, SUMPRODUCT((MOD(Streak!C128:Z128,5)=0)*(MOD(Streak!C128:Z128,10)&lt;&gt;0)*(Streak!C128:Z128&gt;0))) * 5</f>
      </c>
      <c r="AD127" s="12">
        <f>MIN(2, SUMPRODUCT((MOD(Streak!C128:Z128,10)=0)*(Streak!C128:Z128&gt;0))) * 20</f>
      </c>
      <c r="AE127" s="11">
        <f>SUM(AC127:AD127)</f>
      </c>
    </row>
    <row customHeight="true" ht="19" r="128">
      <c r="A128" s="15">
        <v>124</v>
      </c>
      <c r="B128" s="16" t="str">
        <v>Dek.Bilqis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v>0</v>
      </c>
      <c r="K128" s="9">
        <v>0</v>
      </c>
      <c r="L128" s="9">
        <v>0</v>
      </c>
      <c r="M128" s="9">
        <v>0</v>
      </c>
      <c r="N128" s="9">
        <v>0</v>
      </c>
      <c r="O128" s="9">
        <v>0</v>
      </c>
      <c r="P128" s="9">
        <v>1</v>
      </c>
      <c r="Q128" s="9">
        <v>0</v>
      </c>
      <c r="R128" s="9">
        <v>0</v>
      </c>
      <c r="S128" s="9">
        <v>0</v>
      </c>
      <c r="T128" s="9">
        <v>0</v>
      </c>
      <c r="U128" s="9">
        <v>0</v>
      </c>
      <c r="V128" s="9">
        <v>0</v>
      </c>
      <c r="W128" s="9">
        <v>0</v>
      </c>
      <c r="X128" s="9">
        <v>0</v>
      </c>
      <c r="Y128" s="9">
        <v>0</v>
      </c>
      <c r="Z128" s="9">
        <v>0</v>
      </c>
      <c r="AA128" s="14">
        <f>(SUM(C128:Z128))+AE128</f>
      </c>
      <c r="AB128" s="13">
        <v>0</v>
      </c>
      <c r="AC128" s="12">
        <f>MIN(3, SUMPRODUCT((MOD(Streak!C129:Z129,5)=0)*(MOD(Streak!C129:Z129,10)&lt;&gt;0)*(Streak!C129:Z129&gt;0))) * 5</f>
      </c>
      <c r="AD128" s="12">
        <f>MIN(2, SUMPRODUCT((MOD(Streak!C129:Z129,10)=0)*(Streak!C129:Z129&gt;0))) * 20</f>
      </c>
      <c r="AE128" s="11">
        <f>SUM(AC128:AD128)</f>
      </c>
    </row>
    <row customHeight="true" ht="19" r="129">
      <c r="A129" s="15">
        <v>125</v>
      </c>
      <c r="B129" s="16" t="str">
        <v>apink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0</v>
      </c>
      <c r="M129" s="9">
        <v>0</v>
      </c>
      <c r="N129" s="9">
        <v>0</v>
      </c>
      <c r="O129" s="9">
        <v>0</v>
      </c>
      <c r="P129" s="9">
        <v>1</v>
      </c>
      <c r="Q129" s="9">
        <v>1</v>
      </c>
      <c r="R129" s="9">
        <v>1</v>
      </c>
      <c r="S129" s="9">
        <v>0</v>
      </c>
      <c r="T129" s="9">
        <v>0</v>
      </c>
      <c r="U129" s="9">
        <v>0</v>
      </c>
      <c r="V129" s="9">
        <v>0</v>
      </c>
      <c r="W129" s="9">
        <v>0</v>
      </c>
      <c r="X129" s="9">
        <v>0</v>
      </c>
      <c r="Y129" s="9">
        <v>0</v>
      </c>
      <c r="Z129" s="9">
        <v>0</v>
      </c>
      <c r="AA129" s="14">
        <f>(SUM(C129:Z129))+AE129</f>
      </c>
      <c r="AB129" s="13">
        <v>0</v>
      </c>
      <c r="AC129" s="12">
        <f>MIN(3, SUMPRODUCT((MOD(Streak!C130:Z130,5)=0)*(MOD(Streak!C130:Z130,10)&lt;&gt;0)*(Streak!C130:Z130&gt;0))) * 5</f>
      </c>
      <c r="AD129" s="12">
        <f>MIN(2, SUMPRODUCT((MOD(Streak!C130:Z130,10)=0)*(Streak!C130:Z130&gt;0))) * 20</f>
      </c>
      <c r="AE129" s="11">
        <f>SUM(AC129:AD129)</f>
      </c>
    </row>
    <row customHeight="true" ht="19" r="130">
      <c r="A130" s="15">
        <v>126</v>
      </c>
      <c r="B130" s="16" t="str">
        <v>FriskaWS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9">
        <v>0</v>
      </c>
      <c r="O130" s="9">
        <v>0</v>
      </c>
      <c r="P130" s="9">
        <v>0</v>
      </c>
      <c r="Q130" s="9">
        <v>1</v>
      </c>
      <c r="R130" s="9">
        <v>1</v>
      </c>
      <c r="S130" s="9">
        <v>0</v>
      </c>
      <c r="T130" s="9">
        <v>0</v>
      </c>
      <c r="U130" s="9">
        <v>0</v>
      </c>
      <c r="V130" s="9">
        <v>0</v>
      </c>
      <c r="W130" s="9">
        <v>0</v>
      </c>
      <c r="X130" s="9">
        <v>0</v>
      </c>
      <c r="Y130" s="9">
        <v>0</v>
      </c>
      <c r="Z130" s="9">
        <v>0</v>
      </c>
      <c r="AA130" s="14">
        <f>(SUM(C130:Z130))+AE130</f>
      </c>
      <c r="AB130" s="13">
        <v>0</v>
      </c>
      <c r="AC130" s="12">
        <f>MIN(3, SUMPRODUCT((MOD(Streak!C131:Z131,5)=0)*(MOD(Streak!C131:Z131,10)&lt;&gt;0)*(Streak!C131:Z131&gt;0))) * 5</f>
      </c>
      <c r="AD130" s="12">
        <f>MIN(2, SUMPRODUCT((MOD(Streak!C131:Z131,10)=0)*(Streak!C131:Z131&gt;0))) * 20</f>
      </c>
      <c r="AE130" s="11">
        <f>SUM(AC130:AD130)</f>
      </c>
    </row>
    <row customHeight="true" ht="19" r="131">
      <c r="A131" s="15">
        <v>127</v>
      </c>
      <c r="B131" s="16" t="str">
        <v>Scucum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v>0</v>
      </c>
      <c r="K131" s="9">
        <v>0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1</v>
      </c>
      <c r="R131" s="9">
        <v>0</v>
      </c>
      <c r="S131" s="9">
        <v>0</v>
      </c>
      <c r="T131" s="9">
        <v>0</v>
      </c>
      <c r="U131" s="9">
        <v>0</v>
      </c>
      <c r="V131" s="9">
        <v>0</v>
      </c>
      <c r="W131" s="9">
        <v>0</v>
      </c>
      <c r="X131" s="9">
        <v>0</v>
      </c>
      <c r="Y131" s="9">
        <v>0</v>
      </c>
      <c r="Z131" s="9">
        <v>0</v>
      </c>
      <c r="AA131" s="14">
        <f>(SUM(C131:Z131))+AE131</f>
      </c>
      <c r="AB131" s="13">
        <v>0</v>
      </c>
      <c r="AC131" s="12">
        <f>MIN(3, SUMPRODUCT((MOD(Streak!C132:Z132,5)=0)*(MOD(Streak!C132:Z132,10)&lt;&gt;0)*(Streak!C132:Z132&gt;0))) * 5</f>
      </c>
      <c r="AD131" s="12">
        <f>MIN(2, SUMPRODUCT((MOD(Streak!C132:Z132,10)=0)*(Streak!C132:Z132&gt;0))) * 20</f>
      </c>
      <c r="AE131" s="11">
        <f>SUM(AC131:AD131)</f>
      </c>
    </row>
    <row customHeight="true" ht="19" r="132">
      <c r="A132" s="15">
        <v>128</v>
      </c>
      <c r="B132" s="16" t="str">
        <v>Loeimoy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v>0</v>
      </c>
      <c r="K132" s="9">
        <v>0</v>
      </c>
      <c r="L132" s="9">
        <v>0</v>
      </c>
      <c r="M132" s="9">
        <v>0</v>
      </c>
      <c r="N132" s="9">
        <v>0</v>
      </c>
      <c r="O132" s="9">
        <v>0</v>
      </c>
      <c r="P132" s="9">
        <v>0</v>
      </c>
      <c r="Q132" s="9">
        <v>1</v>
      </c>
      <c r="R132" s="9">
        <v>0</v>
      </c>
      <c r="S132" s="9">
        <v>0</v>
      </c>
      <c r="T132" s="9">
        <v>0</v>
      </c>
      <c r="U132" s="9">
        <v>0</v>
      </c>
      <c r="V132" s="9">
        <v>0</v>
      </c>
      <c r="W132" s="9">
        <v>0</v>
      </c>
      <c r="X132" s="9">
        <v>0</v>
      </c>
      <c r="Y132" s="9">
        <v>0</v>
      </c>
      <c r="Z132" s="9">
        <v>0</v>
      </c>
      <c r="AA132" s="14">
        <f>(SUM(C132:Z132))+AE132</f>
      </c>
      <c r="AB132" s="13">
        <v>0</v>
      </c>
      <c r="AC132" s="12">
        <f>MIN(3, SUMPRODUCT((MOD(Streak!C133:Z133,5)=0)*(MOD(Streak!C133:Z133,10)&lt;&gt;0)*(Streak!C133:Z133&gt;0))) * 5</f>
      </c>
      <c r="AD132" s="12">
        <f>MIN(2, SUMPRODUCT((MOD(Streak!C133:Z133,10)=0)*(Streak!C133:Z133&gt;0))) * 20</f>
      </c>
      <c r="AE132" s="11">
        <f>SUM(AC132:AD132)</f>
      </c>
    </row>
    <row customHeight="true" ht="19" r="133">
      <c r="A133" s="15">
        <v>129</v>
      </c>
      <c r="B133" s="16" t="str">
        <v>Gilang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1</v>
      </c>
      <c r="R133" s="9">
        <v>0</v>
      </c>
      <c r="S133" s="9">
        <v>0</v>
      </c>
      <c r="T133" s="9">
        <v>0</v>
      </c>
      <c r="U133" s="9">
        <v>0</v>
      </c>
      <c r="V133" s="9">
        <v>0</v>
      </c>
      <c r="W133" s="9">
        <v>0</v>
      </c>
      <c r="X133" s="9">
        <v>0</v>
      </c>
      <c r="Y133" s="9">
        <v>0</v>
      </c>
      <c r="Z133" s="9">
        <v>0</v>
      </c>
      <c r="AA133" s="14">
        <f>(SUM(C133:Z133))+AE133</f>
      </c>
      <c r="AB133" s="13">
        <v>0</v>
      </c>
      <c r="AC133" s="12">
        <f>MIN(3, SUMPRODUCT((MOD(Streak!C134:Z134,5)=0)*(MOD(Streak!C134:Z134,10)&lt;&gt;0)*(Streak!C134:Z134&gt;0))) * 5</f>
      </c>
      <c r="AD133" s="12">
        <f>MIN(2, SUMPRODUCT((MOD(Streak!C134:Z134,10)=0)*(Streak!C134:Z134&gt;0))) * 20</f>
      </c>
      <c r="AE133" s="11">
        <f>SUM(AC133:AD133)</f>
      </c>
    </row>
    <row customHeight="true" ht="19" r="134">
      <c r="A134" s="15">
        <v>130</v>
      </c>
      <c r="B134" s="16" t="str">
        <v>Akbar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0</v>
      </c>
      <c r="S134" s="9">
        <v>0</v>
      </c>
      <c r="T134" s="9">
        <v>0</v>
      </c>
      <c r="U134" s="9">
        <v>0</v>
      </c>
      <c r="V134" s="9">
        <v>0</v>
      </c>
      <c r="W134" s="9">
        <v>0</v>
      </c>
      <c r="X134" s="9">
        <v>0</v>
      </c>
      <c r="Y134" s="9">
        <v>0</v>
      </c>
      <c r="Z134" s="9">
        <v>0</v>
      </c>
      <c r="AA134" s="14">
        <f>(SUM(C134:Z134))+AE134</f>
      </c>
      <c r="AB134" s="13">
        <v>0</v>
      </c>
      <c r="AC134" s="12">
        <f>MIN(3, SUMPRODUCT((MOD(Streak!C135:Z135,5)=0)*(MOD(Streak!C135:Z135,10)&lt;&gt;0)*(Streak!C135:Z135&gt;0))) * 5</f>
      </c>
      <c r="AD134" s="12">
        <f>MIN(2, SUMPRODUCT((MOD(Streak!C135:Z135,10)=0)*(Streak!C135:Z135&gt;0))) * 20</f>
      </c>
      <c r="AE134" s="11">
        <f>SUM(AC134:AD134)</f>
      </c>
    </row>
    <row customHeight="true" ht="19" r="135">
      <c r="A135" s="15">
        <v>131</v>
      </c>
      <c r="B135" s="16" t="str" xml:space="preserve">
        <v>zUAGBiwi 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1</v>
      </c>
      <c r="S135" s="9">
        <v>1</v>
      </c>
      <c r="T135" s="9">
        <v>0</v>
      </c>
      <c r="U135" s="9">
        <v>0</v>
      </c>
      <c r="V135" s="9">
        <v>0</v>
      </c>
      <c r="W135" s="9">
        <v>0</v>
      </c>
      <c r="X135" s="9">
        <v>0</v>
      </c>
      <c r="Y135" s="9">
        <v>0</v>
      </c>
      <c r="Z135" s="9">
        <v>0</v>
      </c>
      <c r="AA135" s="14">
        <f>(SUM(C135:Z135))+AE135</f>
      </c>
      <c r="AB135" s="13">
        <v>0</v>
      </c>
      <c r="AC135" s="12">
        <f>MIN(3, SUMPRODUCT((MOD(Streak!C136:Z136,5)=0)*(MOD(Streak!C136:Z136,10)&lt;&gt;0)*(Streak!C136:Z136&gt;0))) * 5</f>
      </c>
      <c r="AD135" s="12">
        <f>MIN(2, SUMPRODUCT((MOD(Streak!C136:Z136,10)=0)*(Streak!C136:Z136&gt;0))) * 20</f>
      </c>
      <c r="AE135" s="11">
        <f>SUM(AC135:AD135)</f>
      </c>
    </row>
    <row customHeight="true" ht="19" r="136">
      <c r="A136" s="15">
        <v>132</v>
      </c>
      <c r="B136" s="16" t="str">
        <v>Nedy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1</v>
      </c>
      <c r="S136" s="9">
        <v>0</v>
      </c>
      <c r="T136" s="9">
        <v>0</v>
      </c>
      <c r="U136" s="9">
        <v>0</v>
      </c>
      <c r="V136" s="9">
        <v>0</v>
      </c>
      <c r="W136" s="9">
        <v>0</v>
      </c>
      <c r="X136" s="9">
        <v>0</v>
      </c>
      <c r="Y136" s="9">
        <v>0</v>
      </c>
      <c r="Z136" s="9">
        <v>0</v>
      </c>
      <c r="AA136" s="14">
        <f>(SUM(C136:Z136))+AE136</f>
      </c>
      <c r="AB136" s="13">
        <v>0</v>
      </c>
      <c r="AC136" s="12">
        <f>MIN(3, SUMPRODUCT((MOD(Streak!C137:Z137,5)=0)*(MOD(Streak!C137:Z137,10)&lt;&gt;0)*(Streak!C137:Z137&gt;0))) * 5</f>
      </c>
      <c r="AD136" s="12">
        <f>MIN(2, SUMPRODUCT((MOD(Streak!C137:Z137,10)=0)*(Streak!C137:Z137&gt;0))) * 20</f>
      </c>
      <c r="AE136" s="11">
        <f>SUM(AC136:AD136)</f>
      </c>
    </row>
    <row customHeight="true" ht="19" r="137">
      <c r="A137" s="15">
        <v>133</v>
      </c>
      <c r="B137" s="16" t="str">
        <v>#25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1</v>
      </c>
      <c r="T137" s="9">
        <v>0</v>
      </c>
      <c r="U137" s="9">
        <v>1</v>
      </c>
      <c r="V137" s="9">
        <v>0</v>
      </c>
      <c r="W137" s="9">
        <v>0</v>
      </c>
      <c r="X137" s="9">
        <v>0</v>
      </c>
      <c r="Y137" s="9">
        <v>0</v>
      </c>
      <c r="Z137" s="9">
        <v>0</v>
      </c>
      <c r="AA137" s="14">
        <f>(SUM(C137:Z137))+AE137</f>
      </c>
      <c r="AB137" s="13">
        <v>0</v>
      </c>
      <c r="AC137" s="12">
        <f>MIN(3, SUMPRODUCT((MOD(Streak!C138:Z138,5)=0)*(MOD(Streak!C138:Z138,10)&lt;&gt;0)*(Streak!C138:Z138&gt;0))) * 5</f>
      </c>
      <c r="AD137" s="12">
        <f>MIN(2, SUMPRODUCT((MOD(Streak!C138:Z138,10)=0)*(Streak!C138:Z138&gt;0))) * 20</f>
      </c>
      <c r="AE137" s="11">
        <f>SUM(AC137:AD137)</f>
      </c>
    </row>
    <row customHeight="true" ht="19" r="138">
      <c r="A138" s="15">
        <v>134</v>
      </c>
      <c r="B138" s="16" t="str">
        <v>Andrew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v>0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1</v>
      </c>
      <c r="T138" s="9">
        <v>0</v>
      </c>
      <c r="U138" s="9">
        <v>0</v>
      </c>
      <c r="V138" s="9">
        <v>0</v>
      </c>
      <c r="W138" s="9">
        <v>0</v>
      </c>
      <c r="X138" s="9">
        <v>0</v>
      </c>
      <c r="Y138" s="9">
        <v>0</v>
      </c>
      <c r="Z138" s="9">
        <v>0</v>
      </c>
      <c r="AA138" s="14">
        <f>(SUM(C138:Z138))+AE138</f>
      </c>
      <c r="AB138" s="13">
        <v>0</v>
      </c>
      <c r="AC138" s="12">
        <f>MIN(3, SUMPRODUCT((MOD(Streak!C139:Z139,5)=0)*(MOD(Streak!C139:Z139,10)&lt;&gt;0)*(Streak!C139:Z139&gt;0))) * 5</f>
      </c>
      <c r="AD138" s="12">
        <f>MIN(2, SUMPRODUCT((MOD(Streak!C139:Z139,10)=0)*(Streak!C139:Z139&gt;0))) * 20</f>
      </c>
      <c r="AE138" s="11">
        <f>SUM(AC138:AD138)</f>
      </c>
    </row>
    <row customHeight="true" ht="19" r="139">
      <c r="A139" s="15">
        <v>135</v>
      </c>
      <c r="B139" s="16" t="str">
        <v>Ryo Reborn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>
        <v>1</v>
      </c>
      <c r="T139" s="9">
        <v>1</v>
      </c>
      <c r="U139" s="9">
        <v>1</v>
      </c>
      <c r="V139" s="9">
        <v>0</v>
      </c>
      <c r="W139" s="9">
        <v>0</v>
      </c>
      <c r="X139" s="9">
        <v>0</v>
      </c>
      <c r="Y139" s="9">
        <v>0</v>
      </c>
      <c r="Z139" s="9">
        <v>0</v>
      </c>
      <c r="AA139" s="14">
        <f>(SUM(C139:Z139))+AE139</f>
      </c>
      <c r="AB139" s="13">
        <v>0</v>
      </c>
      <c r="AC139" s="12">
        <f>MIN(3, SUMPRODUCT((MOD(Streak!C140:Z140,5)=0)*(MOD(Streak!C140:Z140,10)&lt;&gt;0)*(Streak!C140:Z140&gt;0))) * 5</f>
      </c>
      <c r="AD139" s="12">
        <f>MIN(2, SUMPRODUCT((MOD(Streak!C140:Z140,10)=0)*(Streak!C140:Z140&gt;0))) * 20</f>
      </c>
      <c r="AE139" s="11">
        <f>SUM(AC139:AD139)</f>
      </c>
    </row>
    <row customHeight="true" ht="19" r="140">
      <c r="A140" s="15">
        <v>136</v>
      </c>
      <c r="B140" s="16" t="str">
        <v>Threee13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9">
        <v>0</v>
      </c>
      <c r="O140" s="9">
        <v>0</v>
      </c>
      <c r="P140" s="9">
        <v>0</v>
      </c>
      <c r="Q140" s="9">
        <v>0</v>
      </c>
      <c r="R140" s="9">
        <v>0</v>
      </c>
      <c r="S140" s="9">
        <v>0</v>
      </c>
      <c r="T140" s="9">
        <v>1</v>
      </c>
      <c r="U140" s="9">
        <v>0</v>
      </c>
      <c r="V140" s="9">
        <v>0</v>
      </c>
      <c r="W140" s="9">
        <v>0</v>
      </c>
      <c r="X140" s="9">
        <v>0</v>
      </c>
      <c r="Y140" s="9">
        <v>0</v>
      </c>
      <c r="Z140" s="9">
        <v>0</v>
      </c>
      <c r="AA140" s="14">
        <f>(SUM(C140:Z140))+AE140</f>
      </c>
      <c r="AB140" s="13">
        <v>0</v>
      </c>
      <c r="AC140" s="12">
        <f>MIN(3, SUMPRODUCT((MOD(Streak!C141:Z141,5)=0)*(MOD(Streak!C141:Z141,10)&lt;&gt;0)*(Streak!C141:Z141&gt;0))) * 5</f>
      </c>
      <c r="AD140" s="12">
        <f>MIN(2, SUMPRODUCT((MOD(Streak!C141:Z141,10)=0)*(Streak!C141:Z141&gt;0))) * 20</f>
      </c>
      <c r="AE140" s="11">
        <f>SUM(AC140:AD140)</f>
      </c>
    </row>
    <row customHeight="true" ht="19" r="141">
      <c r="A141" s="15">
        <v>137</v>
      </c>
      <c r="B141" s="16" t="str">
        <v>Antonio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0</v>
      </c>
      <c r="S141" s="9">
        <v>0</v>
      </c>
      <c r="T141" s="9">
        <v>0</v>
      </c>
      <c r="U141" s="9">
        <v>1</v>
      </c>
      <c r="V141" s="9">
        <v>0</v>
      </c>
      <c r="W141" s="9">
        <v>0</v>
      </c>
      <c r="X141" s="9">
        <v>0</v>
      </c>
      <c r="Y141" s="9">
        <v>0</v>
      </c>
      <c r="Z141" s="9">
        <v>0</v>
      </c>
      <c r="AA141" s="14">
        <f>(SUM(C141:Z141))+AE141</f>
      </c>
      <c r="AB141" s="13">
        <v>0</v>
      </c>
      <c r="AC141" s="12">
        <f>MIN(3, SUMPRODUCT((MOD(Streak!C142:Z142,5)=0)*(MOD(Streak!C142:Z142,10)&lt;&gt;0)*(Streak!C142:Z142&gt;0))) * 5</f>
      </c>
      <c r="AD141" s="12">
        <f>MIN(2, SUMPRODUCT((MOD(Streak!C142:Z142,10)=0)*(Streak!C142:Z142&gt;0))) * 20</f>
      </c>
      <c r="AE141" s="11">
        <f>SUM(AC141:AD141)</f>
      </c>
    </row>
    <row customHeight="true" ht="19" r="142">
      <c r="A142" s="15">
        <v>138</v>
      </c>
      <c r="B142" s="16" t="str">
        <v>Priyanto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0</v>
      </c>
      <c r="S142" s="9">
        <v>0</v>
      </c>
      <c r="T142" s="9">
        <v>0</v>
      </c>
      <c r="U142" s="9">
        <v>1</v>
      </c>
      <c r="V142" s="9">
        <v>0</v>
      </c>
      <c r="W142" s="9">
        <v>0</v>
      </c>
      <c r="X142" s="9">
        <v>0</v>
      </c>
      <c r="Y142" s="9">
        <v>0</v>
      </c>
      <c r="Z142" s="9">
        <v>0</v>
      </c>
      <c r="AA142" s="14">
        <f>(SUM(C142:Z142))+AE142</f>
      </c>
      <c r="AB142" s="13">
        <v>0</v>
      </c>
      <c r="AC142" s="12">
        <f>MIN(3, SUMPRODUCT((MOD(Streak!C143:Z143,5)=0)*(MOD(Streak!C143:Z143,10)&lt;&gt;0)*(Streak!C143:Z143&gt;0))) * 5</f>
      </c>
      <c r="AD142" s="12">
        <f>MIN(2, SUMPRODUCT((MOD(Streak!C143:Z143,10)=0)*(Streak!C143:Z143&gt;0))) * 20</f>
      </c>
      <c r="AE142" s="11">
        <f>SUM(AC142:AD142)</f>
      </c>
    </row>
    <row customHeight="true" ht="19" r="143">
      <c r="A143" s="15">
        <v>139</v>
      </c>
      <c r="B143" s="16" t="str">
        <v>Tyo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>
        <v>0</v>
      </c>
      <c r="T143" s="9">
        <v>0</v>
      </c>
      <c r="U143" s="9">
        <v>1</v>
      </c>
      <c r="V143" s="9">
        <v>0</v>
      </c>
      <c r="W143" s="9">
        <v>0</v>
      </c>
      <c r="X143" s="9">
        <v>0</v>
      </c>
      <c r="Y143" s="9">
        <v>0</v>
      </c>
      <c r="Z143" s="9">
        <v>0</v>
      </c>
      <c r="AA143" s="14">
        <f>(SUM(C143:Z143))+AE143</f>
      </c>
      <c r="AB143" s="13">
        <v>0</v>
      </c>
      <c r="AC143" s="12">
        <f>MIN(3, SUMPRODUCT((MOD(Streak!C144:Z144,5)=0)*(MOD(Streak!C144:Z144,10)&lt;&gt;0)*(Streak!C144:Z144&gt;0))) * 5</f>
      </c>
      <c r="AD143" s="12">
        <f>MIN(2, SUMPRODUCT((MOD(Streak!C144:Z144,10)=0)*(Streak!C144:Z144&gt;0))) * 20</f>
      </c>
      <c r="AE143" s="11">
        <f>SUM(AC143:AD143)</f>
      </c>
    </row>
    <row customHeight="true" ht="19" r="144">
      <c r="A144" s="15">
        <v>140</v>
      </c>
      <c r="B144" s="16" t="str">
        <v>sfgdhd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v>0</v>
      </c>
      <c r="K144" s="9">
        <v>0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>
        <v>0</v>
      </c>
      <c r="T144" s="9">
        <v>0</v>
      </c>
      <c r="U144" s="9">
        <v>1</v>
      </c>
      <c r="V144" s="9">
        <v>0</v>
      </c>
      <c r="W144" s="9">
        <v>0</v>
      </c>
      <c r="X144" s="9">
        <v>0</v>
      </c>
      <c r="Y144" s="9">
        <v>0</v>
      </c>
      <c r="Z144" s="9">
        <v>0</v>
      </c>
      <c r="AA144" s="14">
        <f>(SUM(C144:Z144))+AE144</f>
      </c>
      <c r="AB144" s="13">
        <v>0</v>
      </c>
      <c r="AC144" s="12">
        <f>MIN(3, SUMPRODUCT((MOD(Streak!C145:Z145,5)=0)*(MOD(Streak!C145:Z145,10)&lt;&gt;0)*(Streak!C145:Z145&gt;0))) * 5</f>
      </c>
      <c r="AD144" s="12">
        <f>MIN(2, SUMPRODUCT((MOD(Streak!C145:Z145,10)=0)*(Streak!C145:Z145&gt;0))) * 20</f>
      </c>
      <c r="AE144" s="11">
        <f>SUM(AC144:AD144)</f>
      </c>
    </row>
    <row customHeight="true" ht="19" r="145">
      <c r="A145" s="15"/>
      <c r="B145" s="16" t="str">
        <v>Erwan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>
        <v>0</v>
      </c>
      <c r="T145" s="9">
        <v>0</v>
      </c>
      <c r="U145" s="9">
        <v>1</v>
      </c>
      <c r="V145" s="9">
        <v>0</v>
      </c>
      <c r="W145" s="9">
        <v>0</v>
      </c>
      <c r="X145" s="9">
        <v>0</v>
      </c>
      <c r="Y145" s="9">
        <v>0</v>
      </c>
      <c r="Z145" s="9">
        <v>0</v>
      </c>
      <c r="AA145" s="14">
        <f>(SUM(C145:Z145))+AE145</f>
      </c>
      <c r="AB145" s="13">
        <v>0</v>
      </c>
      <c r="AC145" s="12">
        <f>MIN(3, SUMPRODUCT((MOD(Streak!C146:Z146,5)=0)*(MOD(Streak!C146:Z146,10)&lt;&gt;0)*(Streak!C146:Z146&gt;0))) * 5</f>
      </c>
      <c r="AD145" s="12">
        <f>MIN(2, SUMPRODUCT((MOD(Streak!C146:Z146,10)=0)*(Streak!C146:Z146&gt;0))) * 20</f>
      </c>
      <c r="AE145" s="11">
        <f>SUM(AC145:AD145)</f>
      </c>
    </row>
    <row customHeight="true" ht="19" r="146">
      <c r="A146" s="15"/>
      <c r="B146" s="16" t="str">
        <v>Firnanda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>
        <v>0</v>
      </c>
      <c r="T146" s="9">
        <v>0</v>
      </c>
      <c r="U146" s="9">
        <v>1</v>
      </c>
      <c r="V146" s="9">
        <v>0</v>
      </c>
      <c r="W146" s="9">
        <v>0</v>
      </c>
      <c r="X146" s="9">
        <v>0</v>
      </c>
      <c r="Y146" s="9">
        <v>0</v>
      </c>
      <c r="Z146" s="9">
        <v>0</v>
      </c>
      <c r="AA146" s="14">
        <f>(SUM(C146:Z146))+AE146</f>
      </c>
      <c r="AB146" s="13">
        <v>0</v>
      </c>
      <c r="AC146" s="12">
        <f>MIN(3, SUMPRODUCT((MOD(Streak!C147:Z147,5)=0)*(MOD(Streak!C147:Z147,10)&lt;&gt;0)*(Streak!C147:Z147&gt;0))) * 5</f>
      </c>
      <c r="AD146" s="12">
        <f>MIN(2, SUMPRODUCT((MOD(Streak!C147:Z147,10)=0)*(Streak!C147:Z147&gt;0))) * 20</f>
      </c>
      <c r="AE146" s="11">
        <f>SUM(AC146:AD146)</f>
      </c>
    </row>
    <row customHeight="true" ht="19" r="147">
      <c r="A147" s="15"/>
      <c r="B147" s="16" t="str">
        <v>Anang Artan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0</v>
      </c>
      <c r="S147" s="9">
        <v>0</v>
      </c>
      <c r="T147" s="9">
        <v>0</v>
      </c>
      <c r="U147" s="9">
        <v>0</v>
      </c>
      <c r="V147" s="9">
        <v>1</v>
      </c>
      <c r="W147" s="9">
        <v>0</v>
      </c>
      <c r="X147" s="9">
        <v>0</v>
      </c>
      <c r="Y147" s="9">
        <v>0</v>
      </c>
      <c r="Z147" s="9">
        <v>0</v>
      </c>
      <c r="AA147" s="14">
        <f>(SUM(C147:Z147))+AE147</f>
      </c>
      <c r="AB147" s="13">
        <v>0</v>
      </c>
      <c r="AC147" s="12">
        <f>MIN(3, SUMPRODUCT((MOD(Streak!C148:Z148,5)=0)*(MOD(Streak!C148:Z148,10)&lt;&gt;0)*(Streak!C148:Z148&gt;0))) * 5</f>
      </c>
      <c r="AD147" s="12">
        <f>MIN(2, SUMPRODUCT((MOD(Streak!C148:Z148,10)=0)*(Streak!C148:Z148&gt;0))) * 20</f>
      </c>
      <c r="AE147" s="11">
        <f>SUM(AC147:AD147)</f>
      </c>
    </row>
    <row customHeight="true" ht="19" r="148">
      <c r="A148" s="15"/>
      <c r="B148" s="16" t="str">
        <v>SPREAD SERKH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9">
        <v>0</v>
      </c>
      <c r="U148" s="9">
        <v>0</v>
      </c>
      <c r="V148" s="9">
        <v>1</v>
      </c>
      <c r="W148" s="9">
        <v>0</v>
      </c>
      <c r="X148" s="9">
        <v>0</v>
      </c>
      <c r="Y148" s="9">
        <v>0</v>
      </c>
      <c r="Z148" s="9">
        <v>0</v>
      </c>
      <c r="AA148" s="14">
        <f>(SUM(C148:Z148))+AE148</f>
      </c>
      <c r="AB148" s="13">
        <v>0</v>
      </c>
      <c r="AC148" s="12">
        <f>MIN(3, SUMPRODUCT((MOD(Streak!C149:Z149,5)=0)*(MOD(Streak!C149:Z149,10)&lt;&gt;0)*(Streak!C149:Z149&gt;0))) * 5</f>
      </c>
      <c r="AD148" s="12">
        <f>MIN(2, SUMPRODUCT((MOD(Streak!C149:Z149,10)=0)*(Streak!C149:Z149&gt;0))) * 20</f>
      </c>
      <c r="AE148" s="11">
        <f>SUM(AC148:AD148)</f>
      </c>
    </row>
    <row customHeight="true" ht="19" r="149">
      <c r="A149" s="15"/>
      <c r="B149" s="16" t="str">
        <v>Marpu'ah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>
        <v>0</v>
      </c>
      <c r="T149" s="9">
        <v>0</v>
      </c>
      <c r="U149" s="9">
        <v>0</v>
      </c>
      <c r="V149" s="9">
        <v>1</v>
      </c>
      <c r="W149" s="9">
        <v>0</v>
      </c>
      <c r="X149" s="9">
        <v>0</v>
      </c>
      <c r="Y149" s="9">
        <v>0</v>
      </c>
      <c r="Z149" s="9">
        <v>0</v>
      </c>
      <c r="AA149" s="14">
        <f>(SUM(C149:Z149))+AE149</f>
      </c>
      <c r="AB149" s="13">
        <v>0</v>
      </c>
      <c r="AC149" s="12">
        <f>MIN(3, SUMPRODUCT((MOD(Streak!C150:Z150,5)=0)*(MOD(Streak!C150:Z150,10)&lt;&gt;0)*(Streak!C150:Z150&gt;0))) * 5</f>
      </c>
      <c r="AD149" s="12">
        <f>MIN(2, SUMPRODUCT((MOD(Streak!C150:Z150,10)=0)*(Streak!C150:Z150&gt;0))) * 20</f>
      </c>
      <c r="AE149" s="11">
        <f>SUM(AC149:AD149)</f>
      </c>
    </row>
    <row customHeight="true" ht="19" r="150">
      <c r="A150" s="15"/>
      <c r="B150" s="16" t="str" xml:space="preserve">
        <v>Canyapat 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>
        <v>0</v>
      </c>
      <c r="T150" s="9">
        <v>0</v>
      </c>
      <c r="U150" s="9">
        <v>0</v>
      </c>
      <c r="V150" s="9">
        <v>1</v>
      </c>
      <c r="W150" s="9">
        <v>0</v>
      </c>
      <c r="X150" s="9">
        <v>0</v>
      </c>
      <c r="Y150" s="9">
        <v>0</v>
      </c>
      <c r="Z150" s="9">
        <v>0</v>
      </c>
      <c r="AA150" s="14">
        <f>(SUM(C150:Z150))+AE150</f>
      </c>
      <c r="AB150" s="13">
        <v>0</v>
      </c>
      <c r="AC150" s="12">
        <f>MIN(3, SUMPRODUCT((MOD(Streak!C151:Z151,5)=0)*(MOD(Streak!C151:Z151,10)&lt;&gt;0)*(Streak!C151:Z151&gt;0))) * 5</f>
      </c>
      <c r="AD150" s="12">
        <f>MIN(2, SUMPRODUCT((MOD(Streak!C151:Z151,10)=0)*(Streak!C151:Z151&gt;0))) * 20</f>
      </c>
      <c r="AE150" s="11">
        <f>SUM(AC150:AD150)</f>
      </c>
    </row>
    <row customHeight="true" ht="19" r="151">
      <c r="A151" s="15"/>
      <c r="B151" s="16" t="str">
        <v>arya maha dana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>
        <v>0</v>
      </c>
      <c r="T151" s="9">
        <v>0</v>
      </c>
      <c r="U151" s="9">
        <v>0</v>
      </c>
      <c r="V151" s="9">
        <v>1</v>
      </c>
      <c r="W151" s="9">
        <v>0</v>
      </c>
      <c r="X151" s="9">
        <v>0</v>
      </c>
      <c r="Y151" s="9">
        <v>0</v>
      </c>
      <c r="Z151" s="9">
        <v>0</v>
      </c>
      <c r="AA151" s="14">
        <f>(SUM(C151:Z151))+AE151</f>
      </c>
      <c r="AB151" s="13">
        <v>0</v>
      </c>
      <c r="AC151" s="12">
        <f>MIN(3, SUMPRODUCT((MOD(Streak!C152:Z152,5)=0)*(MOD(Streak!C152:Z152,10)&lt;&gt;0)*(Streak!C152:Z152&gt;0))) * 5</f>
      </c>
      <c r="AD151" s="12">
        <f>MIN(2, SUMPRODUCT((MOD(Streak!C152:Z152,10)=0)*(Streak!C152:Z152&gt;0))) * 20</f>
      </c>
      <c r="AE151" s="11">
        <f>SUM(AC151:AD151)</f>
      </c>
    </row>
    <row customHeight="true" ht="19" r="152">
      <c r="A152" s="15"/>
      <c r="B152" s="16"/>
      <c r="C152" s="9">
        <v>0</v>
      </c>
      <c r="D152" s="9">
        <v>0</v>
      </c>
      <c r="E152" s="9">
        <v>0</v>
      </c>
      <c r="F152" s="9">
        <v>0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0</v>
      </c>
      <c r="S152" s="9">
        <v>0</v>
      </c>
      <c r="T152" s="9">
        <v>0</v>
      </c>
      <c r="U152" s="9">
        <v>0</v>
      </c>
      <c r="V152" s="9">
        <v>0</v>
      </c>
      <c r="W152" s="9">
        <v>0</v>
      </c>
      <c r="X152" s="9">
        <v>0</v>
      </c>
      <c r="Y152" s="9">
        <v>0</v>
      </c>
      <c r="Z152" s="9">
        <v>0</v>
      </c>
      <c r="AA152" s="14">
        <f>(SUM(C152:Z152))+AE152</f>
      </c>
      <c r="AB152" s="13">
        <v>0</v>
      </c>
      <c r="AC152" s="12">
        <f>MIN(3, SUMPRODUCT((MOD(Streak!C153:Z153,5)=0)*(MOD(Streak!C153:Z153,10)&lt;&gt;0)*(Streak!C153:Z153&gt;0))) * 5</f>
      </c>
      <c r="AD152" s="12">
        <f>MIN(2, SUMPRODUCT((MOD(Streak!C153:Z153,10)=0)*(Streak!C153:Z153&gt;0))) * 20</f>
      </c>
      <c r="AE152" s="11">
        <f>SUM(AC152:AD152)</f>
      </c>
    </row>
    <row customHeight="true" ht="19" r="153">
      <c r="A153" s="15"/>
      <c r="B153" s="16"/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>
        <v>0</v>
      </c>
      <c r="T153" s="9">
        <v>0</v>
      </c>
      <c r="U153" s="9">
        <v>0</v>
      </c>
      <c r="V153" s="9">
        <v>0</v>
      </c>
      <c r="W153" s="9">
        <v>0</v>
      </c>
      <c r="X153" s="9">
        <v>0</v>
      </c>
      <c r="Y153" s="9">
        <v>0</v>
      </c>
      <c r="Z153" s="9">
        <v>0</v>
      </c>
      <c r="AA153" s="14">
        <f>(SUM(C153:Z153))+AE153</f>
      </c>
      <c r="AB153" s="13">
        <v>0</v>
      </c>
      <c r="AC153" s="12">
        <f>MIN(3, SUMPRODUCT((MOD(Streak!C154:Z154,5)=0)*(MOD(Streak!C154:Z154,10)&lt;&gt;0)*(Streak!C154:Z154&gt;0))) * 5</f>
      </c>
      <c r="AD153" s="12">
        <f>MIN(2, SUMPRODUCT((MOD(Streak!C154:Z154,10)=0)*(Streak!C154:Z154&gt;0))) * 20</f>
      </c>
      <c r="AE153" s="11">
        <f>SUM(AC153:AD153)</f>
      </c>
    </row>
    <row customHeight="true" ht="19" r="154">
      <c r="A154" s="15"/>
      <c r="B154" s="16"/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0</v>
      </c>
      <c r="S154" s="9">
        <v>0</v>
      </c>
      <c r="T154" s="9">
        <v>0</v>
      </c>
      <c r="U154" s="9">
        <v>0</v>
      </c>
      <c r="V154" s="9">
        <v>0</v>
      </c>
      <c r="W154" s="9">
        <v>0</v>
      </c>
      <c r="X154" s="9">
        <v>0</v>
      </c>
      <c r="Y154" s="9">
        <v>0</v>
      </c>
      <c r="Z154" s="9">
        <v>0</v>
      </c>
      <c r="AA154" s="14">
        <f>(SUM(C154:Z154))+AE154</f>
      </c>
      <c r="AB154" s="13">
        <v>0</v>
      </c>
      <c r="AC154" s="12">
        <f>MIN(3, SUMPRODUCT((MOD(Streak!C155:Z155,5)=0)*(MOD(Streak!C155:Z155,10)&lt;&gt;0)*(Streak!C155:Z155&gt;0))) * 5</f>
      </c>
      <c r="AD154" s="12">
        <f>MIN(2, SUMPRODUCT((MOD(Streak!C155:Z155,10)=0)*(Streak!C155:Z155&gt;0))) * 20</f>
      </c>
      <c r="AE154" s="11">
        <f>SUM(AC154:AD154)</f>
      </c>
    </row>
    <row customHeight="true" ht="19" r="155">
      <c r="A155" s="15"/>
      <c r="B155" s="16"/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9">
        <v>0</v>
      </c>
      <c r="Y155" s="9">
        <v>0</v>
      </c>
      <c r="Z155" s="9">
        <v>0</v>
      </c>
      <c r="AA155" s="14">
        <f>(SUM(C155:Z155))+AE155</f>
      </c>
      <c r="AB155" s="13">
        <v>0</v>
      </c>
      <c r="AC155" s="12">
        <f>MIN(3, SUMPRODUCT((MOD(Streak!C156:Z156,5)=0)*(MOD(Streak!C156:Z156,10)&lt;&gt;0)*(Streak!C156:Z156&gt;0))) * 5</f>
      </c>
      <c r="AD155" s="12">
        <f>MIN(2, SUMPRODUCT((MOD(Streak!C156:Z156,10)=0)*(Streak!C156:Z156&gt;0))) * 20</f>
      </c>
      <c r="AE155" s="11">
        <f>SUM(AC155:AD155)</f>
      </c>
    </row>
    <row customHeight="true" ht="19" r="156">
      <c r="A156" s="15"/>
      <c r="B156" s="16"/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9">
        <v>0</v>
      </c>
      <c r="Y156" s="9">
        <v>0</v>
      </c>
      <c r="Z156" s="9">
        <v>0</v>
      </c>
      <c r="AA156" s="14">
        <f>(SUM(C156:Z156))+AE156</f>
      </c>
      <c r="AB156" s="13">
        <v>0</v>
      </c>
      <c r="AC156" s="12">
        <f>MIN(3, SUMPRODUCT((MOD(Streak!C157:Z157,5)=0)*(MOD(Streak!C157:Z157,10)&lt;&gt;0)*(Streak!C157:Z157&gt;0))) * 5</f>
      </c>
      <c r="AD156" s="12">
        <f>MIN(2, SUMPRODUCT((MOD(Streak!C157:Z157,10)=0)*(Streak!C157:Z157&gt;0))) * 20</f>
      </c>
      <c r="AE156" s="11">
        <f>SUM(AC156:AD156)</f>
      </c>
    </row>
    <row customHeight="true" ht="19" r="157">
      <c r="A157" s="15"/>
      <c r="B157" s="16"/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0</v>
      </c>
      <c r="Y157" s="9">
        <v>0</v>
      </c>
      <c r="Z157" s="9">
        <v>0</v>
      </c>
      <c r="AA157" s="14">
        <f>(SUM(C157:Z157))+AE157</f>
      </c>
      <c r="AB157" s="13">
        <v>0</v>
      </c>
      <c r="AC157" s="12">
        <f>MIN(3, SUMPRODUCT((MOD(Streak!C158:Z158,5)=0)*(MOD(Streak!C158:Z158,10)&lt;&gt;0)*(Streak!C158:Z158&gt;0))) * 5</f>
      </c>
      <c r="AD157" s="12">
        <f>MIN(2, SUMPRODUCT((MOD(Streak!C158:Z158,10)=0)*(Streak!C158:Z158&gt;0))) * 20</f>
      </c>
      <c r="AE157" s="11">
        <f>SUM(AC157:AD157)</f>
      </c>
    </row>
    <row customHeight="true" ht="19" r="158">
      <c r="A158" s="15"/>
      <c r="B158" s="16"/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9">
        <v>0</v>
      </c>
      <c r="Y158" s="9">
        <v>0</v>
      </c>
      <c r="Z158" s="9">
        <v>0</v>
      </c>
      <c r="AA158" s="14">
        <f>(SUM(C158:Z158))+AE158</f>
      </c>
      <c r="AB158" s="13">
        <v>0</v>
      </c>
      <c r="AC158" s="12">
        <f>MIN(3, SUMPRODUCT((MOD(Streak!C159:Z159,5)=0)*(MOD(Streak!C159:Z159,10)&lt;&gt;0)*(Streak!C159:Z159&gt;0))) * 5</f>
      </c>
      <c r="AD158" s="12">
        <f>MIN(2, SUMPRODUCT((MOD(Streak!C159:Z159,10)=0)*(Streak!C159:Z159&gt;0))) * 20</f>
      </c>
      <c r="AE158" s="11">
        <f>SUM(AC158:AD158)</f>
      </c>
    </row>
    <row customHeight="true" ht="19" r="159">
      <c r="A159" s="15"/>
      <c r="B159" s="16"/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0</v>
      </c>
      <c r="Y159" s="9">
        <v>0</v>
      </c>
      <c r="Z159" s="9">
        <v>0</v>
      </c>
      <c r="AA159" s="14">
        <f>(SUM(C159:Z159))+AE159</f>
      </c>
      <c r="AB159" s="13">
        <v>0</v>
      </c>
      <c r="AC159" s="12">
        <f>MIN(3, SUMPRODUCT((MOD(Streak!C160:Z160,5)=0)*(MOD(Streak!C160:Z160,10)&lt;&gt;0)*(Streak!C160:Z160&gt;0))) * 5</f>
      </c>
      <c r="AD159" s="12">
        <f>MIN(2, SUMPRODUCT((MOD(Streak!C160:Z160,10)=0)*(Streak!C160:Z160&gt;0))) * 20</f>
      </c>
      <c r="AE159" s="11">
        <f>SUM(AC159:AD159)</f>
      </c>
    </row>
    <row customHeight="true" ht="19" r="160">
      <c r="A160" s="15"/>
      <c r="B160" s="16"/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0</v>
      </c>
      <c r="Z160" s="9">
        <v>0</v>
      </c>
      <c r="AA160" s="14">
        <f>(SUM(C160:Z160))+AE160</f>
      </c>
      <c r="AB160" s="13">
        <v>0</v>
      </c>
      <c r="AC160" s="12">
        <f>MIN(3, SUMPRODUCT((MOD(Streak!C161:Z161,5)=0)*(MOD(Streak!C161:Z161,10)&lt;&gt;0)*(Streak!C161:Z161&gt;0))) * 5</f>
      </c>
      <c r="AD160" s="12">
        <f>MIN(2, SUMPRODUCT((MOD(Streak!C161:Z161,10)=0)*(Streak!C161:Z161&gt;0))) * 20</f>
      </c>
      <c r="AE160" s="11">
        <f>SUM(AC160:AD160)</f>
      </c>
    </row>
    <row customHeight="true" ht="19" r="161">
      <c r="A161" s="15"/>
      <c r="B161" s="16"/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14">
        <f>(SUM(C161:Z161))+AE161</f>
      </c>
      <c r="AB161" s="13">
        <v>0</v>
      </c>
      <c r="AC161" s="12">
        <f>MIN(3, SUMPRODUCT((MOD(Streak!C162:Z162,5)=0)*(MOD(Streak!C162:Z162,10)&lt;&gt;0)*(Streak!C162:Z162&gt;0))) * 5</f>
      </c>
      <c r="AD161" s="12">
        <f>MIN(2, SUMPRODUCT((MOD(Streak!C162:Z162,10)=0)*(Streak!C162:Z162&gt;0))) * 20</f>
      </c>
      <c r="AE161" s="11">
        <f>SUM(AC161:AD161)</f>
      </c>
    </row>
    <row customHeight="true" ht="19" r="162">
      <c r="A162" s="15"/>
      <c r="B162" s="16"/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9">
        <v>0</v>
      </c>
      <c r="AA162" s="14">
        <f>(SUM(C162:Z162))+AE162</f>
      </c>
      <c r="AB162" s="13">
        <v>0</v>
      </c>
      <c r="AC162" s="12">
        <f>MIN(3, SUMPRODUCT((MOD(Streak!C163:Z163,5)=0)*(MOD(Streak!C163:Z163,10)&lt;&gt;0)*(Streak!C163:Z163&gt;0))) * 5</f>
      </c>
      <c r="AD162" s="12">
        <f>MIN(2, SUMPRODUCT((MOD(Streak!C163:Z163,10)=0)*(Streak!C163:Z163&gt;0))) * 20</f>
      </c>
      <c r="AE162" s="11">
        <f>SUM(AC162:AD162)</f>
      </c>
    </row>
    <row customHeight="true" ht="19" r="163">
      <c r="A163" s="15"/>
      <c r="B163" s="16"/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9">
        <v>0</v>
      </c>
      <c r="AA163" s="14">
        <f>(SUM(C163:Z163))+AE163</f>
      </c>
      <c r="AB163" s="13">
        <v>0</v>
      </c>
      <c r="AC163" s="12">
        <f>MIN(3, SUMPRODUCT((MOD(Streak!C164:Z164,5)=0)*(MOD(Streak!C164:Z164,10)&lt;&gt;0)*(Streak!C164:Z164&gt;0))) * 5</f>
      </c>
      <c r="AD163" s="12">
        <f>MIN(2, SUMPRODUCT((MOD(Streak!C164:Z164,10)=0)*(Streak!C164:Z164&gt;0))) * 20</f>
      </c>
      <c r="AE163" s="11">
        <f>SUM(AC163:AD163)</f>
      </c>
    </row>
    <row customHeight="true" ht="19" r="164">
      <c r="A164" s="15"/>
      <c r="B164" s="16"/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0</v>
      </c>
      <c r="Z164" s="9">
        <v>0</v>
      </c>
      <c r="AA164" s="14">
        <f>(SUM(C164:Z164))+AE164</f>
      </c>
      <c r="AB164" s="13">
        <v>0</v>
      </c>
      <c r="AC164" s="12">
        <f>MIN(3, SUMPRODUCT((MOD(Streak!C165:Z165,5)=0)*(MOD(Streak!C165:Z165,10)&lt;&gt;0)*(Streak!C165:Z165&gt;0))) * 5</f>
      </c>
      <c r="AD164" s="12">
        <f>MIN(2, SUMPRODUCT((MOD(Streak!C165:Z165,10)=0)*(Streak!C165:Z165&gt;0))) * 20</f>
      </c>
      <c r="AE164" s="11">
        <f>SUM(AC164:AD164)</f>
      </c>
    </row>
    <row customHeight="true" ht="19" r="165">
      <c r="A165" s="15"/>
      <c r="B165" s="16"/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0</v>
      </c>
      <c r="Z165" s="9">
        <v>0</v>
      </c>
      <c r="AA165" s="14">
        <f>(SUM(C165:Z165))+AE165</f>
      </c>
      <c r="AB165" s="13">
        <v>0</v>
      </c>
      <c r="AC165" s="12">
        <f>MIN(3, SUMPRODUCT((MOD(Streak!C166:Z166,5)=0)*(MOD(Streak!C166:Z166,10)&lt;&gt;0)*(Streak!C166:Z166&gt;0))) * 5</f>
      </c>
      <c r="AD165" s="12">
        <f>MIN(2, SUMPRODUCT((MOD(Streak!C166:Z166,10)=0)*(Streak!C166:Z166&gt;0))) * 20</f>
      </c>
      <c r="AE165" s="11">
        <f>SUM(AC165:AD165)</f>
      </c>
    </row>
    <row customHeight="true" ht="19" r="166">
      <c r="A166" s="15"/>
      <c r="B166" s="16"/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14">
        <f>(SUM(C166:Z166))+AE166</f>
      </c>
      <c r="AB166" s="13">
        <v>0</v>
      </c>
      <c r="AC166" s="12">
        <f>MIN(3, SUMPRODUCT((MOD(Streak!C167:Z167,5)=0)*(MOD(Streak!C167:Z167,10)&lt;&gt;0)*(Streak!C167:Z167&gt;0))) * 5</f>
      </c>
      <c r="AD166" s="12">
        <f>MIN(2, SUMPRODUCT((MOD(Streak!C167:Z167,10)=0)*(Streak!C167:Z167&gt;0))) * 20</f>
      </c>
      <c r="AE166" s="11">
        <f>SUM(AC166:AD166)</f>
      </c>
    </row>
    <row customHeight="true" ht="19" r="167">
      <c r="A167" s="15"/>
      <c r="B167" s="16"/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14">
        <f>(SUM(C167:Z167))+AE167</f>
      </c>
      <c r="AB167" s="13">
        <v>0</v>
      </c>
      <c r="AC167" s="12">
        <f>MIN(3, SUMPRODUCT((MOD(Streak!C168:Z168,5)=0)*(MOD(Streak!C168:Z168,10)&lt;&gt;0)*(Streak!C168:Z168&gt;0))) * 5</f>
      </c>
      <c r="AD167" s="12">
        <f>MIN(2, SUMPRODUCT((MOD(Streak!C168:Z168,10)=0)*(Streak!C168:Z168&gt;0))) * 20</f>
      </c>
      <c r="AE167" s="11">
        <f>SUM(AC167:AD167)</f>
      </c>
    </row>
    <row customHeight="true" ht="19" r="168">
      <c r="A168" s="15"/>
      <c r="B168" s="16"/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0</v>
      </c>
      <c r="Z168" s="9">
        <v>0</v>
      </c>
      <c r="AA168" s="14">
        <f>(SUM(C168:Z168))+AE168</f>
      </c>
      <c r="AB168" s="13">
        <v>0</v>
      </c>
      <c r="AC168" s="12">
        <f>MIN(3, SUMPRODUCT((MOD(Streak!C169:Z169,5)=0)*(MOD(Streak!C169:Z169,10)&lt;&gt;0)*(Streak!C169:Z169&gt;0))) * 5</f>
      </c>
      <c r="AD168" s="12">
        <f>MIN(2, SUMPRODUCT((MOD(Streak!C169:Z169,10)=0)*(Streak!C169:Z169&gt;0))) * 20</f>
      </c>
      <c r="AE168" s="11">
        <f>SUM(AC168:AD168)</f>
      </c>
    </row>
    <row customHeight="true" ht="19" r="169">
      <c r="A169" s="15"/>
      <c r="B169" s="16"/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14">
        <f>(SUM(C169:Z169))+AE169</f>
      </c>
      <c r="AB169" s="13">
        <v>0</v>
      </c>
      <c r="AC169" s="12">
        <f>MIN(3, SUMPRODUCT((MOD(Streak!C170:Z170,5)=0)*(MOD(Streak!C170:Z170,10)&lt;&gt;0)*(Streak!C170:Z170&gt;0))) * 5</f>
      </c>
      <c r="AD169" s="12">
        <f>MIN(2, SUMPRODUCT((MOD(Streak!C170:Z170,10)=0)*(Streak!C170:Z170&gt;0))) * 20</f>
      </c>
      <c r="AE169" s="11">
        <f>SUM(AC169:AD169)</f>
      </c>
    </row>
    <row customHeight="true" ht="19" r="170">
      <c r="A170" s="15"/>
      <c r="B170" s="16"/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0</v>
      </c>
      <c r="Z170" s="9">
        <v>0</v>
      </c>
      <c r="AA170" s="14">
        <f>(SUM(C170:Z170))+AE170</f>
      </c>
      <c r="AB170" s="13">
        <v>0</v>
      </c>
      <c r="AC170" s="12">
        <f>MIN(3, SUMPRODUCT((MOD(Streak!C171:Z171,5)=0)*(MOD(Streak!C171:Z171,10)&lt;&gt;0)*(Streak!C171:Z171&gt;0))) * 5</f>
      </c>
      <c r="AD170" s="12">
        <f>MIN(2, SUMPRODUCT((MOD(Streak!C171:Z171,10)=0)*(Streak!C171:Z171&gt;0))) * 20</f>
      </c>
      <c r="AE170" s="11">
        <f>SUM(AC170:AD170)</f>
      </c>
    </row>
    <row customHeight="true" ht="19" r="171">
      <c r="A171" s="15"/>
      <c r="B171" s="16"/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0</v>
      </c>
      <c r="Z171" s="9">
        <v>0</v>
      </c>
      <c r="AA171" s="14">
        <f>(SUM(C171:Z171))+AE171</f>
      </c>
      <c r="AB171" s="13">
        <v>0</v>
      </c>
      <c r="AC171" s="12">
        <f>MIN(3, SUMPRODUCT((MOD(Streak!C172:Z172,5)=0)*(MOD(Streak!C172:Z172,10)&lt;&gt;0)*(Streak!C172:Z172&gt;0))) * 5</f>
      </c>
      <c r="AD171" s="12">
        <f>MIN(2, SUMPRODUCT((MOD(Streak!C172:Z172,10)=0)*(Streak!C172:Z172&gt;0))) * 20</f>
      </c>
      <c r="AE171" s="11">
        <f>SUM(AC171:AD171)</f>
      </c>
    </row>
    <row customHeight="true" ht="19" r="172">
      <c r="A172" s="15"/>
      <c r="B172" s="16"/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0</v>
      </c>
      <c r="Z172" s="9">
        <v>0</v>
      </c>
      <c r="AA172" s="14">
        <f>(SUM(C172:Z172))+AE172</f>
      </c>
      <c r="AB172" s="13">
        <v>0</v>
      </c>
      <c r="AC172" s="12">
        <f>MIN(3, SUMPRODUCT((MOD(Streak!C173:Z173,5)=0)*(MOD(Streak!C173:Z173,10)&lt;&gt;0)*(Streak!C173:Z173&gt;0))) * 5</f>
      </c>
      <c r="AD172" s="12">
        <f>MIN(2, SUMPRODUCT((MOD(Streak!C173:Z173,10)=0)*(Streak!C173:Z173&gt;0))) * 20</f>
      </c>
      <c r="AE172" s="11">
        <f>SUM(AC172:AD172)</f>
      </c>
    </row>
    <row customHeight="true" ht="19" r="173">
      <c r="A173" s="15"/>
      <c r="B173" s="16"/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9">
        <v>0</v>
      </c>
      <c r="U173" s="9">
        <v>0</v>
      </c>
      <c r="V173" s="9">
        <v>0</v>
      </c>
      <c r="W173" s="9">
        <v>0</v>
      </c>
      <c r="X173" s="9">
        <v>0</v>
      </c>
      <c r="Y173" s="9">
        <v>0</v>
      </c>
      <c r="Z173" s="9">
        <v>0</v>
      </c>
      <c r="AA173" s="14">
        <f>(SUM(C173:Z173))+AE173</f>
      </c>
      <c r="AB173" s="13">
        <v>0</v>
      </c>
      <c r="AC173" s="12">
        <f>MIN(3, SUMPRODUCT((MOD(Streak!C174:Z174,5)=0)*(MOD(Streak!C174:Z174,10)&lt;&gt;0)*(Streak!C174:Z174&gt;0))) * 5</f>
      </c>
      <c r="AD173" s="12">
        <f>MIN(2, SUMPRODUCT((MOD(Streak!C174:Z174,10)=0)*(Streak!C174:Z174&gt;0))) * 20</f>
      </c>
      <c r="AE173" s="11">
        <f>SUM(AC173:AD173)</f>
      </c>
    </row>
    <row customHeight="true" ht="19" r="174">
      <c r="A174" s="15"/>
      <c r="B174" s="16"/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>
        <v>0</v>
      </c>
      <c r="T174" s="9">
        <v>0</v>
      </c>
      <c r="U174" s="9">
        <v>0</v>
      </c>
      <c r="V174" s="9">
        <v>0</v>
      </c>
      <c r="W174" s="9">
        <v>0</v>
      </c>
      <c r="X174" s="9">
        <v>0</v>
      </c>
      <c r="Y174" s="9">
        <v>0</v>
      </c>
      <c r="Z174" s="9">
        <v>0</v>
      </c>
      <c r="AA174" s="14">
        <f>(SUM(C174:Z174))+AE174</f>
      </c>
      <c r="AB174" s="13">
        <v>0</v>
      </c>
      <c r="AC174" s="12">
        <f>MIN(3, SUMPRODUCT((MOD(Streak!C175:Z175,5)=0)*(MOD(Streak!C175:Z175,10)&lt;&gt;0)*(Streak!C175:Z175&gt;0))) * 5</f>
      </c>
      <c r="AD174" s="12">
        <f>MIN(2, SUMPRODUCT((MOD(Streak!C175:Z175,10)=0)*(Streak!C175:Z175&gt;0))) * 20</f>
      </c>
      <c r="AE174" s="11">
        <f>SUM(AC174:AD174)</f>
      </c>
    </row>
    <row customHeight="true" ht="19" r="175">
      <c r="A175" s="15"/>
      <c r="B175" s="16"/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14">
        <f>(SUM(C175:Z175))+AE175</f>
      </c>
      <c r="AB175" s="13">
        <v>0</v>
      </c>
      <c r="AC175" s="12">
        <f>MIN(3, SUMPRODUCT((MOD(Streak!C176:Z176,5)=0)*(MOD(Streak!C176:Z176,10)&lt;&gt;0)*(Streak!C176:Z176&gt;0))) * 5</f>
      </c>
      <c r="AD175" s="12">
        <f>MIN(2, SUMPRODUCT((MOD(Streak!C176:Z176,10)=0)*(Streak!C176:Z176&gt;0))) * 20</f>
      </c>
      <c r="AE175" s="11">
        <f>SUM(AC175:AD175)</f>
      </c>
    </row>
    <row customHeight="true" ht="19" r="176">
      <c r="A176" s="15"/>
      <c r="B176" s="16"/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>
        <v>0</v>
      </c>
      <c r="T176" s="9">
        <v>0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0</v>
      </c>
      <c r="AA176" s="14">
        <f>(SUM(C176:Z176))+AE176</f>
      </c>
      <c r="AB176" s="13">
        <v>0</v>
      </c>
      <c r="AC176" s="12">
        <f>MIN(3, SUMPRODUCT((MOD(Streak!C177:Z177,5)=0)*(MOD(Streak!C177:Z177,10)&lt;&gt;0)*(Streak!C177:Z177&gt;0))) * 5</f>
      </c>
      <c r="AD176" s="12">
        <f>MIN(2, SUMPRODUCT((MOD(Streak!C177:Z177,10)=0)*(Streak!C177:Z177&gt;0))) * 20</f>
      </c>
      <c r="AE176" s="11">
        <f>SUM(AC176:AD176)</f>
      </c>
    </row>
    <row customHeight="true" ht="19" r="177">
      <c r="A177" s="15"/>
      <c r="B177" s="16"/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0</v>
      </c>
      <c r="Y177" s="9">
        <v>0</v>
      </c>
      <c r="Z177" s="9">
        <v>0</v>
      </c>
      <c r="AA177" s="14">
        <f>(SUM(C177:Z177))+AE177</f>
      </c>
      <c r="AB177" s="13">
        <v>0</v>
      </c>
      <c r="AC177" s="12">
        <f>MIN(3, SUMPRODUCT((MOD(Streak!C178:Z178,5)=0)*(MOD(Streak!C178:Z178,10)&lt;&gt;0)*(Streak!C178:Z178&gt;0))) * 5</f>
      </c>
      <c r="AD177" s="12">
        <f>MIN(2, SUMPRODUCT((MOD(Streak!C178:Z178,10)=0)*(Streak!C178:Z178&gt;0))) * 20</f>
      </c>
      <c r="AE177" s="11">
        <f>SUM(AC177:AD177)</f>
      </c>
    </row>
    <row customHeight="true" ht="19" r="178">
      <c r="A178" s="15"/>
      <c r="B178" s="16"/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>
        <v>0</v>
      </c>
      <c r="T178" s="9">
        <v>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14">
        <f>(SUM(C178:Z178))+AE178</f>
      </c>
      <c r="AB178" s="13">
        <v>0</v>
      </c>
      <c r="AC178" s="12">
        <f>MIN(3, SUMPRODUCT((MOD(Streak!C179:Z179,5)=0)*(MOD(Streak!C179:Z179,10)&lt;&gt;0)*(Streak!C179:Z179&gt;0))) * 5</f>
      </c>
      <c r="AD178" s="12">
        <f>MIN(2, SUMPRODUCT((MOD(Streak!C179:Z179,10)=0)*(Streak!C179:Z179&gt;0))) * 20</f>
      </c>
      <c r="AE178" s="11">
        <f>SUM(AC178:AD178)</f>
      </c>
    </row>
    <row customHeight="true" ht="19" r="179">
      <c r="A179" s="15"/>
      <c r="B179" s="16"/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14">
        <f>(SUM(C179:Z179))+AE179</f>
      </c>
      <c r="AB179" s="13">
        <v>0</v>
      </c>
      <c r="AC179" s="12">
        <f>MIN(3, SUMPRODUCT((MOD(Streak!C180:Z180,5)=0)*(MOD(Streak!C180:Z180,10)&lt;&gt;0)*(Streak!C180:Z180&gt;0))) * 5</f>
      </c>
      <c r="AD179" s="12">
        <f>MIN(2, SUMPRODUCT((MOD(Streak!C180:Z180,10)=0)*(Streak!C180:Z180&gt;0))) * 20</f>
      </c>
      <c r="AE179" s="11">
        <f>SUM(AC179:AD179)</f>
      </c>
    </row>
    <row customHeight="true" ht="19" r="180">
      <c r="A180" s="15"/>
      <c r="B180" s="16"/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9">
        <v>0</v>
      </c>
      <c r="U180" s="9">
        <v>0</v>
      </c>
      <c r="V180" s="9">
        <v>0</v>
      </c>
      <c r="W180" s="9">
        <v>0</v>
      </c>
      <c r="X180" s="9">
        <v>0</v>
      </c>
      <c r="Y180" s="9">
        <v>0</v>
      </c>
      <c r="Z180" s="9">
        <v>0</v>
      </c>
      <c r="AA180" s="14">
        <f>(SUM(C180:Z180))+AE180</f>
      </c>
      <c r="AB180" s="13">
        <v>0</v>
      </c>
      <c r="AC180" s="12">
        <f>MIN(3, SUMPRODUCT((MOD(Streak!C181:Z181,5)=0)*(MOD(Streak!C181:Z181,10)&lt;&gt;0)*(Streak!C181:Z181&gt;0))) * 5</f>
      </c>
      <c r="AD180" s="12">
        <f>MIN(2, SUMPRODUCT((MOD(Streak!C181:Z181,10)=0)*(Streak!C181:Z181&gt;0))) * 20</f>
      </c>
      <c r="AE180" s="11">
        <f>SUM(AC180:AD180)</f>
      </c>
    </row>
    <row customHeight="true" ht="19" r="181">
      <c r="A181" s="15"/>
      <c r="B181" s="16"/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9">
        <v>0</v>
      </c>
      <c r="U181" s="9">
        <v>0</v>
      </c>
      <c r="V181" s="9">
        <v>0</v>
      </c>
      <c r="W181" s="9">
        <v>0</v>
      </c>
      <c r="X181" s="9">
        <v>0</v>
      </c>
      <c r="Y181" s="9">
        <v>0</v>
      </c>
      <c r="Z181" s="9">
        <v>0</v>
      </c>
      <c r="AA181" s="14">
        <f>(SUM(C181:Z181))+AE181</f>
      </c>
      <c r="AB181" s="13">
        <v>0</v>
      </c>
      <c r="AC181" s="12">
        <f>MIN(3, SUMPRODUCT((MOD(Streak!C182:Z182,5)=0)*(MOD(Streak!C182:Z182,10)&lt;&gt;0)*(Streak!C182:Z182&gt;0))) * 5</f>
      </c>
      <c r="AD181" s="12">
        <f>MIN(2, SUMPRODUCT((MOD(Streak!C182:Z182,10)=0)*(Streak!C182:Z182&gt;0))) * 20</f>
      </c>
      <c r="AE181" s="11">
        <f>SUM(AC181:AD181)</f>
      </c>
    </row>
    <row customHeight="true" ht="19" r="182">
      <c r="A182" s="15"/>
      <c r="B182" s="16"/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9">
        <v>0</v>
      </c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0</v>
      </c>
      <c r="AA182" s="14">
        <f>(SUM(C182:Z182))+AE182</f>
      </c>
      <c r="AB182" s="13">
        <v>0</v>
      </c>
      <c r="AC182" s="12">
        <f>MIN(3, SUMPRODUCT((MOD(Streak!C183:Z183,5)=0)*(MOD(Streak!C183:Z183,10)&lt;&gt;0)*(Streak!C183:Z183&gt;0))) * 5</f>
      </c>
      <c r="AD182" s="12">
        <f>MIN(2, SUMPRODUCT((MOD(Streak!C183:Z183,10)=0)*(Streak!C183:Z183&gt;0))) * 20</f>
      </c>
      <c r="AE182" s="11">
        <f>SUM(AC182:AD182)</f>
      </c>
    </row>
    <row customHeight="true" ht="19" r="183">
      <c r="A183" s="15"/>
      <c r="B183" s="16"/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>
        <v>0</v>
      </c>
      <c r="T183" s="9">
        <v>0</v>
      </c>
      <c r="U183" s="9">
        <v>0</v>
      </c>
      <c r="V183" s="9">
        <v>0</v>
      </c>
      <c r="W183" s="9">
        <v>0</v>
      </c>
      <c r="X183" s="9">
        <v>0</v>
      </c>
      <c r="Y183" s="9">
        <v>0</v>
      </c>
      <c r="Z183" s="9">
        <v>0</v>
      </c>
      <c r="AA183" s="14">
        <f>(SUM(C183:Z183))+AE183</f>
      </c>
      <c r="AB183" s="13">
        <v>0</v>
      </c>
      <c r="AC183" s="12">
        <f>MIN(3, SUMPRODUCT((MOD(Streak!C184:Z184,5)=0)*(MOD(Streak!C184:Z184,10)&lt;&gt;0)*(Streak!C184:Z184&gt;0))) * 5</f>
      </c>
      <c r="AD183" s="12">
        <f>MIN(2, SUMPRODUCT((MOD(Streak!C184:Z184,10)=0)*(Streak!C184:Z184&gt;0))) * 20</f>
      </c>
      <c r="AE183" s="11">
        <f>SUM(AC183:AD183)</f>
      </c>
    </row>
    <row customHeight="true" ht="19" r="184">
      <c r="A184" s="15"/>
      <c r="B184" s="16"/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9">
        <v>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14">
        <f>(SUM(C184:Z184))+AE184</f>
      </c>
      <c r="AB184" s="13">
        <v>0</v>
      </c>
      <c r="AC184" s="12">
        <f>MIN(3, SUMPRODUCT((MOD(Streak!C185:Z185,5)=0)*(MOD(Streak!C185:Z185,10)&lt;&gt;0)*(Streak!C185:Z185&gt;0))) * 5</f>
      </c>
      <c r="AD184" s="12">
        <f>MIN(2, SUMPRODUCT((MOD(Streak!C185:Z185,10)=0)*(Streak!C185:Z185&gt;0))) * 20</f>
      </c>
      <c r="AE184" s="11">
        <f>SUM(AC184:AD184)</f>
      </c>
    </row>
    <row customHeight="true" ht="19" r="185">
      <c r="A185" s="15"/>
      <c r="B185" s="16"/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9">
        <v>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14">
        <f>(SUM(C185:Z185))+AE185</f>
      </c>
      <c r="AB185" s="13">
        <v>0</v>
      </c>
      <c r="AC185" s="12">
        <f>MIN(3, SUMPRODUCT((MOD(Streak!C186:Z186,5)=0)*(MOD(Streak!C186:Z186,10)&lt;&gt;0)*(Streak!C186:Z186&gt;0))) * 5</f>
      </c>
      <c r="AD185" s="12">
        <f>MIN(2, SUMPRODUCT((MOD(Streak!C186:Z186,10)=0)*(Streak!C186:Z186&gt;0))) * 20</f>
      </c>
      <c r="AE185" s="11">
        <f>SUM(AC185:AD185)</f>
      </c>
    </row>
    <row customHeight="true" ht="19" r="186">
      <c r="A186" s="15"/>
      <c r="B186" s="16"/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14">
        <f>(SUM(C186:Z186))+AE186</f>
      </c>
      <c r="AB186" s="13">
        <v>0</v>
      </c>
      <c r="AC186" s="12">
        <f>MIN(3, SUMPRODUCT((MOD(Streak!C187:Z187,5)=0)*(MOD(Streak!C187:Z187,10)&lt;&gt;0)*(Streak!C187:Z187&gt;0))) * 5</f>
      </c>
      <c r="AD186" s="12">
        <f>MIN(2, SUMPRODUCT((MOD(Streak!C187:Z187,10)=0)*(Streak!C187:Z187&gt;0))) * 20</f>
      </c>
      <c r="AE186" s="11">
        <f>SUM(AC186:AD186)</f>
      </c>
    </row>
    <row customHeight="true" ht="19" r="187">
      <c r="A187" s="15"/>
      <c r="B187" s="16"/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14">
        <f>(SUM(C187:Z187))+AE187</f>
      </c>
      <c r="AB187" s="13">
        <v>0</v>
      </c>
      <c r="AC187" s="12">
        <f>MIN(3, SUMPRODUCT((MOD(Streak!C188:Z188,5)=0)*(MOD(Streak!C188:Z188,10)&lt;&gt;0)*(Streak!C188:Z188&gt;0))) * 5</f>
      </c>
      <c r="AD187" s="12">
        <f>MIN(2, SUMPRODUCT((MOD(Streak!C188:Z188,10)=0)*(Streak!C188:Z188&gt;0))) * 20</f>
      </c>
      <c r="AE187" s="11">
        <f>SUM(AC187:AD187)</f>
      </c>
    </row>
    <row customHeight="true" ht="19" r="188">
      <c r="A188" s="15"/>
      <c r="B188" s="16"/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v>0</v>
      </c>
      <c r="K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>
        <v>0</v>
      </c>
      <c r="T188" s="9">
        <v>0</v>
      </c>
      <c r="U188" s="9">
        <v>0</v>
      </c>
      <c r="V188" s="9">
        <v>0</v>
      </c>
      <c r="W188" s="9">
        <v>0</v>
      </c>
      <c r="X188" s="9">
        <v>0</v>
      </c>
      <c r="Y188" s="9">
        <v>0</v>
      </c>
      <c r="Z188" s="9">
        <v>0</v>
      </c>
      <c r="AA188" s="14">
        <f>(SUM(C188:Z188))+AE188</f>
      </c>
      <c r="AB188" s="13">
        <v>0</v>
      </c>
      <c r="AC188" s="12">
        <f>MIN(3, SUMPRODUCT((MOD(Streak!C189:Z189,5)=0)*(MOD(Streak!C189:Z189,10)&lt;&gt;0)*(Streak!C189:Z189&gt;0))) * 5</f>
      </c>
      <c r="AD188" s="12">
        <f>MIN(2, SUMPRODUCT((MOD(Streak!C189:Z189,10)=0)*(Streak!C189:Z189&gt;0))) * 20</f>
      </c>
      <c r="AE188" s="11">
        <f>SUM(AC188:AD188)</f>
      </c>
    </row>
    <row customHeight="true" ht="19" r="189">
      <c r="A189" s="15"/>
      <c r="B189" s="16"/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0</v>
      </c>
      <c r="Y189" s="9">
        <v>0</v>
      </c>
      <c r="Z189" s="9">
        <v>0</v>
      </c>
      <c r="AA189" s="14">
        <f>(SUM(C189:Z189))+AE189</f>
      </c>
      <c r="AB189" s="13">
        <v>0</v>
      </c>
      <c r="AC189" s="12">
        <f>MIN(3, SUMPRODUCT((MOD(Streak!C190:Z190,5)=0)*(MOD(Streak!C190:Z190,10)&lt;&gt;0)*(Streak!C190:Z190&gt;0))) * 5</f>
      </c>
      <c r="AD189" s="12">
        <f>MIN(2, SUMPRODUCT((MOD(Streak!C190:Z190,10)=0)*(Streak!C190:Z190&gt;0))) * 20</f>
      </c>
      <c r="AE189" s="11">
        <f>SUM(AC189:AD189)</f>
      </c>
    </row>
    <row customHeight="true" ht="19" r="190">
      <c r="A190" s="15"/>
      <c r="B190" s="16"/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>
        <v>0</v>
      </c>
      <c r="T190" s="9">
        <v>0</v>
      </c>
      <c r="U190" s="9">
        <v>0</v>
      </c>
      <c r="V190" s="9">
        <v>0</v>
      </c>
      <c r="W190" s="9">
        <v>0</v>
      </c>
      <c r="X190" s="9">
        <v>0</v>
      </c>
      <c r="Y190" s="9">
        <v>0</v>
      </c>
      <c r="Z190" s="9">
        <v>0</v>
      </c>
      <c r="AA190" s="14">
        <f>(SUM(C190:Z190))+AE190</f>
      </c>
      <c r="AB190" s="13">
        <v>0</v>
      </c>
      <c r="AC190" s="12">
        <f>MIN(3, SUMPRODUCT((MOD(Streak!C191:Z191,5)=0)*(MOD(Streak!C191:Z191,10)&lt;&gt;0)*(Streak!C191:Z191&gt;0))) * 5</f>
      </c>
      <c r="AD190" s="12">
        <f>MIN(2, SUMPRODUCT((MOD(Streak!C191:Z191,10)=0)*(Streak!C191:Z191&gt;0))) * 20</f>
      </c>
      <c r="AE190" s="11">
        <f>SUM(AC190:AD190)</f>
      </c>
    </row>
    <row customHeight="true" ht="19" r="191">
      <c r="A191" s="15"/>
      <c r="B191" s="16"/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0</v>
      </c>
      <c r="S191" s="9">
        <v>0</v>
      </c>
      <c r="T191" s="9">
        <v>0</v>
      </c>
      <c r="U191" s="9">
        <v>0</v>
      </c>
      <c r="V191" s="9">
        <v>0</v>
      </c>
      <c r="W191" s="9">
        <v>0</v>
      </c>
      <c r="X191" s="9">
        <v>0</v>
      </c>
      <c r="Y191" s="9">
        <v>0</v>
      </c>
      <c r="Z191" s="9">
        <v>0</v>
      </c>
      <c r="AA191" s="14">
        <f>(SUM(C191:Z191))+AE191</f>
      </c>
      <c r="AB191" s="13">
        <v>0</v>
      </c>
      <c r="AC191" s="12">
        <f>MIN(3, SUMPRODUCT((MOD(Streak!C192:Z192,5)=0)*(MOD(Streak!C192:Z192,10)&lt;&gt;0)*(Streak!C192:Z192&gt;0))) * 5</f>
      </c>
      <c r="AD191" s="12">
        <f>MIN(2, SUMPRODUCT((MOD(Streak!C192:Z192,10)=0)*(Streak!C192:Z192&gt;0))) * 20</f>
      </c>
      <c r="AE191" s="11">
        <f>SUM(AC191:AD191)</f>
      </c>
    </row>
    <row customHeight="true" ht="19" r="192">
      <c r="A192" s="15"/>
      <c r="B192" s="16"/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>
        <v>0</v>
      </c>
      <c r="T192" s="9">
        <v>0</v>
      </c>
      <c r="U192" s="9">
        <v>0</v>
      </c>
      <c r="V192" s="9">
        <v>0</v>
      </c>
      <c r="W192" s="9">
        <v>0</v>
      </c>
      <c r="X192" s="9">
        <v>0</v>
      </c>
      <c r="Y192" s="9">
        <v>0</v>
      </c>
      <c r="Z192" s="9">
        <v>0</v>
      </c>
      <c r="AA192" s="14">
        <f>(SUM(C192:Z192))+AE192</f>
      </c>
      <c r="AB192" s="13">
        <v>0</v>
      </c>
      <c r="AC192" s="12">
        <f>MIN(3, SUMPRODUCT((MOD(Streak!C193:Z193,5)=0)*(MOD(Streak!C193:Z193,10)&lt;&gt;0)*(Streak!C193:Z193&gt;0))) * 5</f>
      </c>
      <c r="AD192" s="12">
        <f>MIN(2, SUMPRODUCT((MOD(Streak!C193:Z193,10)=0)*(Streak!C193:Z193&gt;0))) * 20</f>
      </c>
      <c r="AE192" s="11">
        <f>SUM(AC192:AD192)</f>
      </c>
    </row>
    <row customHeight="true" ht="19" r="193">
      <c r="A193" s="15"/>
      <c r="B193" s="16"/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>
        <v>0</v>
      </c>
      <c r="T193" s="9">
        <v>0</v>
      </c>
      <c r="U193" s="9">
        <v>0</v>
      </c>
      <c r="V193" s="9">
        <v>0</v>
      </c>
      <c r="W193" s="9">
        <v>0</v>
      </c>
      <c r="X193" s="9">
        <v>0</v>
      </c>
      <c r="Y193" s="9">
        <v>0</v>
      </c>
      <c r="Z193" s="9">
        <v>0</v>
      </c>
      <c r="AA193" s="14">
        <f>(SUM(C193:Z193))+AE193</f>
      </c>
      <c r="AB193" s="13">
        <v>0</v>
      </c>
      <c r="AC193" s="12">
        <f>MIN(3, SUMPRODUCT((MOD(Streak!C194:Z194,5)=0)*(MOD(Streak!C194:Z194,10)&lt;&gt;0)*(Streak!C194:Z194&gt;0))) * 5</f>
      </c>
      <c r="AD193" s="12">
        <f>MIN(2, SUMPRODUCT((MOD(Streak!C194:Z194,10)=0)*(Streak!C194:Z194&gt;0))) * 20</f>
      </c>
      <c r="AE193" s="11">
        <f>SUM(AC193:AD193)</f>
      </c>
    </row>
    <row customHeight="true" ht="19" r="194">
      <c r="A194" s="15"/>
      <c r="B194" s="16"/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0</v>
      </c>
      <c r="S194" s="9">
        <v>0</v>
      </c>
      <c r="T194" s="9">
        <v>0</v>
      </c>
      <c r="U194" s="9">
        <v>0</v>
      </c>
      <c r="V194" s="9">
        <v>0</v>
      </c>
      <c r="W194" s="9">
        <v>0</v>
      </c>
      <c r="X194" s="9">
        <v>0</v>
      </c>
      <c r="Y194" s="9">
        <v>0</v>
      </c>
      <c r="Z194" s="9">
        <v>0</v>
      </c>
      <c r="AA194" s="14">
        <f>(SUM(C194:Z194))+AE194</f>
      </c>
      <c r="AB194" s="13">
        <v>0</v>
      </c>
      <c r="AC194" s="12">
        <f>MIN(3, SUMPRODUCT((MOD(Streak!C195:Z195,5)=0)*(MOD(Streak!C195:Z195,10)&lt;&gt;0)*(Streak!C195:Z195&gt;0))) * 5</f>
      </c>
      <c r="AD194" s="12">
        <f>MIN(2, SUMPRODUCT((MOD(Streak!C195:Z195,10)=0)*(Streak!C195:Z195&gt;0))) * 20</f>
      </c>
      <c r="AE194" s="11">
        <f>SUM(AC194:AD194)</f>
      </c>
    </row>
    <row customHeight="true" ht="19" r="195">
      <c r="A195" s="15"/>
      <c r="B195" s="16"/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>
        <v>0</v>
      </c>
      <c r="T195" s="9">
        <v>0</v>
      </c>
      <c r="U195" s="9">
        <v>0</v>
      </c>
      <c r="V195" s="9">
        <v>0</v>
      </c>
      <c r="W195" s="9">
        <v>0</v>
      </c>
      <c r="X195" s="9">
        <v>0</v>
      </c>
      <c r="Y195" s="9">
        <v>0</v>
      </c>
      <c r="Z195" s="9">
        <v>0</v>
      </c>
      <c r="AA195" s="14">
        <f>(SUM(C195:Z195))+AE195</f>
      </c>
      <c r="AB195" s="13">
        <v>0</v>
      </c>
      <c r="AC195" s="12">
        <f>MIN(3, SUMPRODUCT((MOD(Streak!C196:Z196,5)=0)*(MOD(Streak!C196:Z196,10)&lt;&gt;0)*(Streak!C196:Z196&gt;0))) * 5</f>
      </c>
      <c r="AD195" s="12">
        <f>MIN(2, SUMPRODUCT((MOD(Streak!C196:Z196,10)=0)*(Streak!C196:Z196&gt;0))) * 20</f>
      </c>
      <c r="AE195" s="11">
        <f>SUM(AC195:AD195)</f>
      </c>
    </row>
    <row customHeight="true" ht="19" r="196">
      <c r="A196" s="15"/>
      <c r="B196" s="16"/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>
        <v>0</v>
      </c>
      <c r="T196" s="9">
        <v>0</v>
      </c>
      <c r="U196" s="9">
        <v>0</v>
      </c>
      <c r="V196" s="9">
        <v>0</v>
      </c>
      <c r="W196" s="9">
        <v>0</v>
      </c>
      <c r="X196" s="9">
        <v>0</v>
      </c>
      <c r="Y196" s="9">
        <v>0</v>
      </c>
      <c r="Z196" s="9">
        <v>0</v>
      </c>
      <c r="AA196" s="14">
        <f>(SUM(C196:Z196))+AE196</f>
      </c>
      <c r="AB196" s="13">
        <v>0</v>
      </c>
      <c r="AC196" s="12">
        <f>MIN(3, SUMPRODUCT((MOD(Streak!C197:Z197,5)=0)*(MOD(Streak!C197:Z197,10)&lt;&gt;0)*(Streak!C197:Z197&gt;0))) * 5</f>
      </c>
      <c r="AD196" s="12">
        <f>MIN(2, SUMPRODUCT((MOD(Streak!C197:Z197,10)=0)*(Streak!C197:Z197&gt;0))) * 20</f>
      </c>
      <c r="AE196" s="11">
        <f>SUM(AC196:AD196)</f>
      </c>
    </row>
    <row customHeight="true" ht="19" r="197">
      <c r="A197" s="15"/>
      <c r="B197" s="16"/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>
        <v>0</v>
      </c>
      <c r="T197" s="9">
        <v>0</v>
      </c>
      <c r="U197" s="9">
        <v>0</v>
      </c>
      <c r="V197" s="9">
        <v>0</v>
      </c>
      <c r="W197" s="9">
        <v>0</v>
      </c>
      <c r="X197" s="9">
        <v>0</v>
      </c>
      <c r="Y197" s="9">
        <v>0</v>
      </c>
      <c r="Z197" s="9">
        <v>0</v>
      </c>
      <c r="AA197" s="14">
        <f>(SUM(C197:Z197))+AE197</f>
      </c>
      <c r="AB197" s="13">
        <v>0</v>
      </c>
      <c r="AC197" s="12">
        <f>MIN(3, SUMPRODUCT((MOD(Streak!C198:Z198,5)=0)*(MOD(Streak!C198:Z198,10)&lt;&gt;0)*(Streak!C198:Z198&gt;0))) * 5</f>
      </c>
      <c r="AD197" s="12">
        <f>MIN(2, SUMPRODUCT((MOD(Streak!C198:Z198,10)=0)*(Streak!C198:Z198&gt;0))) * 20</f>
      </c>
      <c r="AE197" s="11">
        <f>SUM(AC197:AD197)</f>
      </c>
    </row>
    <row customHeight="true" ht="19" r="198">
      <c r="A198" s="15"/>
      <c r="B198" s="16"/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v>0</v>
      </c>
      <c r="K198" s="9">
        <v>0</v>
      </c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9">
        <v>0</v>
      </c>
      <c r="S198" s="9">
        <v>0</v>
      </c>
      <c r="T198" s="9">
        <v>0</v>
      </c>
      <c r="U198" s="9">
        <v>0</v>
      </c>
      <c r="V198" s="9">
        <v>0</v>
      </c>
      <c r="W198" s="9">
        <v>0</v>
      </c>
      <c r="X198" s="9">
        <v>0</v>
      </c>
      <c r="Y198" s="9">
        <v>0</v>
      </c>
      <c r="Z198" s="9">
        <v>0</v>
      </c>
      <c r="AA198" s="14">
        <f>(SUM(C198:Z198))+AE198</f>
      </c>
      <c r="AB198" s="13">
        <v>0</v>
      </c>
      <c r="AC198" s="12">
        <f>MIN(3, SUMPRODUCT((MOD(Streak!C199:Z199,5)=0)*(MOD(Streak!C199:Z199,10)&lt;&gt;0)*(Streak!C199:Z199&gt;0))) * 5</f>
      </c>
      <c r="AD198" s="12">
        <f>MIN(2, SUMPRODUCT((MOD(Streak!C199:Z199,10)=0)*(Streak!C199:Z199&gt;0))) * 20</f>
      </c>
      <c r="AE198" s="11">
        <f>SUM(AC198:AD198)</f>
      </c>
    </row>
    <row customHeight="true" ht="19" r="199">
      <c r="A199" s="15"/>
      <c r="B199" s="16"/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0</v>
      </c>
      <c r="R199" s="9">
        <v>0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14">
        <f>(SUM(C199:Z199))+AE199</f>
      </c>
      <c r="AB199" s="13">
        <v>0</v>
      </c>
      <c r="AC199" s="12">
        <f>MIN(3, SUMPRODUCT((MOD(Streak!C200:Z200,5)=0)*(MOD(Streak!C200:Z200,10)&lt;&gt;0)*(Streak!C200:Z200&gt;0))) * 5</f>
      </c>
      <c r="AD199" s="12">
        <f>MIN(2, SUMPRODUCT((MOD(Streak!C200:Z200,10)=0)*(Streak!C200:Z200&gt;0))) * 20</f>
      </c>
      <c r="AE199" s="11">
        <f>SUM(AC199:AD199)</f>
      </c>
    </row>
    <row customHeight="true" ht="19" r="200">
      <c r="A200" s="15"/>
      <c r="B200" s="16"/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v>0</v>
      </c>
      <c r="K200" s="9">
        <v>0</v>
      </c>
      <c r="L200" s="9">
        <v>0</v>
      </c>
      <c r="M200" s="9">
        <v>0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>
        <v>0</v>
      </c>
      <c r="T200" s="9">
        <v>0</v>
      </c>
      <c r="U200" s="9">
        <v>0</v>
      </c>
      <c r="V200" s="9">
        <v>0</v>
      </c>
      <c r="W200" s="9">
        <v>0</v>
      </c>
      <c r="X200" s="9">
        <v>0</v>
      </c>
      <c r="Y200" s="9">
        <v>0</v>
      </c>
      <c r="Z200" s="9">
        <v>0</v>
      </c>
      <c r="AA200" s="14">
        <f>(SUM(C200:Z200))+AE200</f>
      </c>
      <c r="AB200" s="13">
        <v>0</v>
      </c>
      <c r="AC200" s="12">
        <f>MIN(3, SUMPRODUCT((MOD(Streak!C201:Z201,5)=0)*(MOD(Streak!C201:Z201,10)&lt;&gt;0)*(Streak!C201:Z201&gt;0))) * 5</f>
      </c>
      <c r="AD200" s="12">
        <f>MIN(2, SUMPRODUCT((MOD(Streak!C201:Z201,10)=0)*(Streak!C201:Z201&gt;0))) * 20</f>
      </c>
      <c r="AE200" s="11">
        <f>SUM(AC200:AD200)</f>
      </c>
    </row>
    <row customHeight="true" ht="19" r="201">
      <c r="A201" s="15"/>
      <c r="B201" s="16"/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0</v>
      </c>
      <c r="S201" s="9">
        <v>0</v>
      </c>
      <c r="T201" s="9">
        <v>0</v>
      </c>
      <c r="U201" s="9">
        <v>0</v>
      </c>
      <c r="V201" s="9">
        <v>0</v>
      </c>
      <c r="W201" s="9">
        <v>0</v>
      </c>
      <c r="X201" s="9">
        <v>0</v>
      </c>
      <c r="Y201" s="9">
        <v>0</v>
      </c>
      <c r="Z201" s="9">
        <v>0</v>
      </c>
      <c r="AA201" s="14">
        <f>(SUM(C201:Z201))+AE201</f>
      </c>
      <c r="AB201" s="13">
        <v>0</v>
      </c>
      <c r="AC201" s="12">
        <f>MIN(3, SUMPRODUCT((MOD(Streak!C202:Z202,5)=0)*(MOD(Streak!C202:Z202,10)&lt;&gt;0)*(Streak!C202:Z202&gt;0))) * 5</f>
      </c>
      <c r="AD201" s="12">
        <f>MIN(2, SUMPRODUCT((MOD(Streak!C202:Z202,10)=0)*(Streak!C202:Z202&gt;0))) * 20</f>
      </c>
      <c r="AE201" s="11">
        <f>SUM(AC201:AD201)</f>
      </c>
    </row>
    <row customHeight="true" ht="19" r="202">
      <c r="A202" s="15"/>
      <c r="B202" s="16"/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0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0</v>
      </c>
      <c r="Y202" s="9">
        <v>0</v>
      </c>
      <c r="Z202" s="9">
        <v>0</v>
      </c>
      <c r="AA202" s="14">
        <f>(SUM(C202:Z202))+AE202</f>
      </c>
      <c r="AB202" s="13">
        <v>0</v>
      </c>
      <c r="AC202" s="12">
        <f>MIN(3, SUMPRODUCT((MOD(Streak!C203:Z203,5)=0)*(MOD(Streak!C203:Z203,10)&lt;&gt;0)*(Streak!C203:Z203&gt;0))) * 5</f>
      </c>
      <c r="AD202" s="12">
        <f>MIN(2, SUMPRODUCT((MOD(Streak!C203:Z203,10)=0)*(Streak!C203:Z203&gt;0))) * 20</f>
      </c>
      <c r="AE202" s="11">
        <f>SUM(AC202:AD202)</f>
      </c>
    </row>
    <row customHeight="true" ht="19" r="203">
      <c r="A203" s="15"/>
      <c r="B203" s="16"/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0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0</v>
      </c>
      <c r="Y203" s="9">
        <v>0</v>
      </c>
      <c r="Z203" s="9">
        <v>0</v>
      </c>
      <c r="AA203" s="14">
        <f>(SUM(C203:Z203))+AE203</f>
      </c>
      <c r="AB203" s="13">
        <v>0</v>
      </c>
      <c r="AC203" s="12">
        <f>MIN(3, SUMPRODUCT((MOD(Streak!C204:Z204,5)=0)*(MOD(Streak!C204:Z204,10)&lt;&gt;0)*(Streak!C204:Z204&gt;0))) * 5</f>
      </c>
      <c r="AD203" s="12">
        <f>MIN(2, SUMPRODUCT((MOD(Streak!C204:Z204,10)=0)*(Streak!C204:Z204&gt;0))) * 20</f>
      </c>
      <c r="AE203" s="11">
        <f>SUM(AC203:AD203)</f>
      </c>
    </row>
    <row customHeight="true" ht="19" r="204">
      <c r="A204" s="15"/>
      <c r="B204" s="16"/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0</v>
      </c>
      <c r="R204" s="9">
        <v>0</v>
      </c>
      <c r="S204" s="9">
        <v>0</v>
      </c>
      <c r="T204" s="9">
        <v>0</v>
      </c>
      <c r="U204" s="9">
        <v>0</v>
      </c>
      <c r="V204" s="9">
        <v>0</v>
      </c>
      <c r="W204" s="9">
        <v>0</v>
      </c>
      <c r="X204" s="9">
        <v>0</v>
      </c>
      <c r="Y204" s="9">
        <v>0</v>
      </c>
      <c r="Z204" s="9">
        <v>0</v>
      </c>
      <c r="AA204" s="14">
        <f>(SUM(C204:Z204))+AE204</f>
      </c>
      <c r="AB204" s="13">
        <v>0</v>
      </c>
      <c r="AC204" s="12">
        <f>MIN(3, SUMPRODUCT((MOD(Streak!C205:Z205,5)=0)*(MOD(Streak!C205:Z205,10)&lt;&gt;0)*(Streak!C205:Z205&gt;0))) * 5</f>
      </c>
      <c r="AD204" s="12">
        <f>MIN(2, SUMPRODUCT((MOD(Streak!C205:Z205,10)=0)*(Streak!C205:Z205&gt;0))) * 20</f>
      </c>
      <c r="AE204" s="11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6" t="str">
        <v>MEMBER</v>
      </c>
      <c r="B2" s="6"/>
      <c r="C2" s="2">
        <v>46111</v>
      </c>
      <c r="D2" s="2">
        <v>46112</v>
      </c>
      <c r="E2" s="2">
        <v>46113</v>
      </c>
      <c r="F2" s="2">
        <v>46114</v>
      </c>
      <c r="G2" s="2">
        <v>46115</v>
      </c>
      <c r="H2" s="2">
        <v>46118</v>
      </c>
      <c r="I2" s="2">
        <v>46119</v>
      </c>
      <c r="J2" s="2">
        <v>46120</v>
      </c>
      <c r="K2" s="2">
        <v>46121</v>
      </c>
      <c r="L2" s="2">
        <v>46122</v>
      </c>
      <c r="M2" s="2">
        <v>46125</v>
      </c>
      <c r="N2" s="2">
        <v>46126</v>
      </c>
      <c r="O2" s="2">
        <v>46127</v>
      </c>
      <c r="P2" s="2">
        <v>46128</v>
      </c>
      <c r="Q2" s="2">
        <v>46129</v>
      </c>
      <c r="R2" s="2">
        <v>46132</v>
      </c>
      <c r="S2" s="2">
        <v>46133</v>
      </c>
      <c r="T2" s="2">
        <v>46134</v>
      </c>
      <c r="U2" s="2">
        <v>46135</v>
      </c>
      <c r="V2" s="2">
        <v>46136</v>
      </c>
      <c r="W2" s="2">
        <v>46139</v>
      </c>
      <c r="X2" s="2">
        <v>46140</v>
      </c>
      <c r="Y2" s="2">
        <v>46141</v>
      </c>
      <c r="Z2" s="2">
        <v>46142</v>
      </c>
      <c r="AA2" s="5" t="str">
        <v>Streaks</v>
      </c>
    </row>
    <row r="3">
      <c r="A3" s="6"/>
      <c r="B3" s="6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5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