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<sst xmlns="http://schemas.openxmlformats.org/spreadsheetml/2006/main" count="4" uniqueCount="4">
  <si>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 xml:space="preserve">  </t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</si>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</sst>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4A148C"/>
        <bgColor/>
      </patternFill>
    </fill>
    <fill>
      <patternFill patternType="solid">
        <fgColor rgb="FFDC9B04"/>
        <bgColor/>
      </patternFill>
    </fill>
    <fill>
      <patternFill patternType="solid">
        <fgColor rgb="FFFF8F00"/>
        <bgColor/>
      </patternFill>
    </fill>
    <fill>
      <patternFill patternType="solid">
        <fgColor rgb="FF795101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/>
    </xf>
    <xf applyAlignment="true" applyBorder="false" applyFill="true" applyFont="true" applyNumberFormat="false" applyProtection="false" borderId="5" fillId="6" fontId="5" numFmtId="0" xfId="0">
      <alignment vertical="center"/>
    </xf>
    <xf applyAlignment="true" applyBorder="false" applyFill="true" applyFont="true" applyNumberFormat="false" applyProtection="false" borderId="6" fillId="7" fontId="6" numFmtId="0" xfId="0">
      <alignment horizontal="center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9" numFmtId="0" xfId="0">
      <alignment horizontal="left" vertical="center" wrapText="true"/>
    </xf>
    <xf applyAlignment="true" applyBorder="false" applyFill="true" applyFont="true" applyNumberFormat="false" applyProtection="false" borderId="10" fillId="10" fontId="10" numFmtId="0" xfId="0">
      <alignment horizontal="center" vertical="center" wrapText="true"/>
    </xf>
    <xf applyAlignment="true" applyBorder="false" applyFill="true" applyFont="true" applyNumberFormat="false" applyProtection="false" borderId="11" fillId="11" fontId="11" numFmtId="0" xfId="0">
      <alignment horizontal="center" vertical="center" wrapText="true"/>
    </xf>
    <xf applyAlignment="true" applyBorder="false" applyFill="true" applyFont="true" applyNumberFormat="true" applyProtection="false" borderId="12" fillId="12" fontId="11" numFmtId="164" xfId="0">
      <alignment horizontal="center" vertical="center" wrapText="true"/>
    </xf>
    <xf applyAlignment="true" applyBorder="false" applyFill="true" applyFont="true" applyNumberFormat="false" applyProtection="false" borderId="13" fillId="13" fontId="11" numFmtId="0" xfId="0">
      <alignment horizontal="center" vertical="center" wrapText="true"/>
    </xf>
    <xf applyAlignment="true" applyBorder="false" applyFill="true" applyFont="true" applyNumberFormat="false" applyProtection="false" borderId="14" fillId="14" fontId="12" numFmtId="0" xfId="0">
      <alignment horizontal="center" vertical="center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2" numFmtId="0" xfId="0">
      <alignment horizontal="center" vertical="center" wrapText="true"/>
    </xf>
    <xf applyAlignment="true" applyBorder="false" applyFill="true" applyFont="true" applyNumberFormat="false" applyProtection="false" borderId="17" fillId="17" fontId="13" numFmtId="0" xfId="0">
      <alignment horizontal="center" vertical="center" wrapText="true"/>
    </xf>
    <xf applyAlignment="true" applyBorder="false" applyFill="true" applyFont="true" applyNumberFormat="false" applyProtection="false" borderId="18" fillId="18" fontId="10" numFmtId="0" xfId="0">
      <alignment horizontal="left" vertical="bottom" wrapText="true"/>
    </xf>
    <xf applyAlignment="true" applyBorder="false" applyFill="true" applyFont="true" applyNumberFormat="false" applyProtection="false" borderId="19" fillId="19" fontId="12" numFmtId="0" xfId="0">
      <alignment horizontal="center" vertical="center" wrapText="true"/>
    </xf>
    <xf applyAlignment="true" applyBorder="false" applyFill="true" applyFont="true" applyNumberFormat="false" applyProtection="false" borderId="20" fillId="20" fontId="14" numFmtId="0" xfId="0">
      <alignment horizontal="center" vertical="center" wrapText="true"/>
    </xf>
    <xf applyAlignment="true" applyBorder="false" applyFill="true" applyFont="true" applyNumberFormat="false" applyProtection="false" borderId="21" fillId="21" fontId="11" numFmtId="0" xfId="0">
      <alignment horizontal="center" vertical="center" wrapText="true"/>
    </xf>
    <xf applyAlignment="true" applyBorder="false" applyFill="true" applyFont="true" applyNumberFormat="false" applyProtection="false" borderId="22" fillId="22" fontId="11" numFmtId="0" xfId="0">
      <alignment horizontal="center" vertical="center" wrapText="true"/>
    </xf>
    <xf applyAlignment="true" applyBorder="false" applyFill="true" applyFont="true" applyNumberFormat="false" applyProtection="false" borderId="23" fillId="23" fontId="1" numFmtId="0" xfId="0">
      <alignment horizontal="center" vertical="center"/>
    </xf>
    <xf applyAlignment="true" applyBorder="false" applyFill="true" applyFont="true" applyNumberFormat="false" applyProtection="false" borderId="24" fillId="24" fontId="4" numFmtId="0" xfId="0">
      <alignment vertical="center"/>
    </xf>
    <xf applyAlignment="true" applyBorder="false" applyFill="true" applyFont="true" applyNumberFormat="false" applyProtection="false" borderId="25" fillId="25" fontId="9" numFmtId="0" xfId="0">
      <alignment horizontal="center" vertical="center" wrapText="true"/>
    </xf>
    <xf applyAlignment="true" applyBorder="false" applyFill="true" applyFont="true" applyNumberFormat="false" applyProtection="false" borderId="26" fillId="26" fontId="9" numFmtId="0" xfId="0">
      <alignment horizontal="center" vertical="center" wrapText="true"/>
    </xf>
    <xf applyAlignment="true" applyBorder="false" applyFill="true" applyFont="true" applyNumberFormat="false" applyProtection="false" borderId="27" fillId="27" fontId="4" numFmtId="0" xfId="0">
      <alignment horizontal="center" vertical="center"/>
    </xf>
    <xf applyAlignment="true" applyBorder="false" applyFill="true" applyFont="true" applyNumberFormat="false" applyProtection="false" borderId="28" fillId="28" fontId="15" numFmtId="0" xfId="0">
      <alignment horizontal="center" vertical="center" wrapText="true"/>
    </xf>
    <xf applyAlignment="true" applyBorder="false" applyFill="true" applyFont="true" applyNumberFormat="false" applyProtection="false" borderId="29" fillId="29" fontId="13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4" t="str">
        <v>MEMBER</v>
      </c>
      <c r="B2" s="14"/>
      <c r="C2" s="12">
        <v>46111</v>
      </c>
      <c r="D2" s="12">
        <v>46112</v>
      </c>
      <c r="E2" s="12">
        <v>46113</v>
      </c>
      <c r="F2" s="12">
        <v>46114</v>
      </c>
      <c r="G2" s="12">
        <v>46115</v>
      </c>
      <c r="H2" s="12">
        <v>46118</v>
      </c>
      <c r="I2" s="12">
        <v>46119</v>
      </c>
      <c r="J2" s="12">
        <v>46120</v>
      </c>
      <c r="K2" s="12">
        <v>46121</v>
      </c>
      <c r="L2" s="12">
        <v>46122</v>
      </c>
      <c r="M2" s="12">
        <v>46125</v>
      </c>
      <c r="N2" s="12">
        <v>46126</v>
      </c>
      <c r="O2" s="12">
        <v>46127</v>
      </c>
      <c r="P2" s="12">
        <v>46128</v>
      </c>
      <c r="Q2" s="12">
        <v>46129</v>
      </c>
      <c r="R2" s="12">
        <v>46132</v>
      </c>
      <c r="S2" s="12">
        <v>46133</v>
      </c>
      <c r="T2" s="12">
        <v>46134</v>
      </c>
      <c r="U2" s="12">
        <v>46135</v>
      </c>
      <c r="V2" s="12">
        <v>46136</v>
      </c>
      <c r="W2" s="12">
        <v>46139</v>
      </c>
      <c r="X2" s="12">
        <v>46140</v>
      </c>
      <c r="Y2" s="12">
        <v>46141</v>
      </c>
      <c r="Z2" s="12">
        <v>46142</v>
      </c>
      <c r="AA2" s="15" t="str">
        <v>Total
Tiket</v>
      </c>
      <c r="AB2" s="16" t="str">
        <v>Streak
(manual)</v>
      </c>
      <c r="AC2" s="11" t="s">
        <v>1</v>
      </c>
      <c r="AD2" s="11" t="s">
        <v>2</v>
      </c>
      <c r="AE2" s="13" t="s">
        <v>3</v>
      </c>
    </row>
    <row r="3">
      <c r="A3" s="14"/>
      <c r="B3" s="14"/>
      <c r="C3" s="20" t="str">
        <v>Sen</v>
      </c>
      <c r="D3" s="20" t="str">
        <v>Sel</v>
      </c>
      <c r="E3" s="20" t="str">
        <v>Rab</v>
      </c>
      <c r="F3" s="20" t="str">
        <v>Kam</v>
      </c>
      <c r="G3" s="20" t="str">
        <v>Jum</v>
      </c>
      <c r="H3" s="20" t="str">
        <v>Sen</v>
      </c>
      <c r="I3" s="20" t="str">
        <v>Sel</v>
      </c>
      <c r="J3" s="20" t="str">
        <v>Rab</v>
      </c>
      <c r="K3" s="20" t="str">
        <v>Kam</v>
      </c>
      <c r="L3" s="20" t="str">
        <v>Jum</v>
      </c>
      <c r="M3" s="20" t="str">
        <v>Sen</v>
      </c>
      <c r="N3" s="20" t="str">
        <v>Sel</v>
      </c>
      <c r="O3" s="20" t="str">
        <v>Rab</v>
      </c>
      <c r="P3" s="20" t="str">
        <v>Kam</v>
      </c>
      <c r="Q3" s="20" t="str">
        <v>Jum</v>
      </c>
      <c r="R3" s="20" t="str">
        <v>Sen</v>
      </c>
      <c r="S3" s="20" t="str">
        <v>Sel</v>
      </c>
      <c r="T3" s="20" t="str">
        <v>Rab</v>
      </c>
      <c r="U3" s="20" t="str">
        <v>Kam</v>
      </c>
      <c r="V3" s="20" t="str">
        <v>Jum</v>
      </c>
      <c r="W3" s="20" t="str">
        <v>Sen</v>
      </c>
      <c r="X3" s="20" t="str">
        <v>Sel</v>
      </c>
      <c r="Y3" s="20" t="str">
        <v>Rab</v>
      </c>
      <c r="Z3" s="20" t="str">
        <v>Kam</v>
      </c>
      <c r="AA3" s="21"/>
      <c r="AB3" s="22"/>
      <c r="AC3" s="11"/>
      <c r="AD3" s="11"/>
      <c r="AE3" s="13"/>
    </row>
    <row r="4">
      <c r="A4" s="18" t="str">
        <v>
</v>
      </c>
      <c r="B4" s="19" t="str">
        <v>TOTAL</v>
      </c>
      <c r="C4" s="17">
        <f>SUM(C5:C204)</f>
      </c>
      <c r="D4" s="17">
        <f>SUM(D5:D204)</f>
      </c>
      <c r="E4" s="17">
        <f>SUM(E5:E204)</f>
      </c>
      <c r="F4" s="17">
        <f>SUM(F5:F204)</f>
      </c>
      <c r="G4" s="17">
        <f>SUM(G5:G204)</f>
      </c>
      <c r="H4" s="17">
        <f>SUM(H5:H204)</f>
      </c>
      <c r="I4" s="17">
        <f>SUM(I5:I204)</f>
      </c>
      <c r="J4" s="17">
        <f>SUM(J5:J204)</f>
      </c>
      <c r="K4" s="17">
        <f>SUM(K5:K204)</f>
      </c>
      <c r="L4" s="17">
        <f>SUM(L5:L204)</f>
      </c>
      <c r="M4" s="17">
        <f>SUM(M5:M204)</f>
      </c>
      <c r="N4" s="17">
        <f>SUM(N5:N204)</f>
      </c>
      <c r="O4" s="17">
        <f>SUM(O5:O204)</f>
      </c>
      <c r="P4" s="17">
        <f>SUM(P5:P204)</f>
      </c>
      <c r="Q4" s="17">
        <f>SUM(Q5:Q204)</f>
      </c>
      <c r="R4" s="17">
        <f>SUM(R5:R204)</f>
      </c>
      <c r="S4" s="17">
        <f>SUM(S5:S204)</f>
      </c>
      <c r="T4" s="17">
        <f>SUM(T5:T204)</f>
      </c>
      <c r="U4" s="17">
        <f>SUM(U5:U204)</f>
      </c>
      <c r="V4" s="17">
        <f>SUM(V5:V204)</f>
      </c>
      <c r="W4" s="17">
        <f>SUM(W5:W204)</f>
      </c>
      <c r="X4" s="17">
        <f>SUM(X5:X204)</f>
      </c>
      <c r="Y4" s="17">
        <f>SUM(Y5:Y204)</f>
      </c>
      <c r="Z4" s="17">
        <f>SUM(Z5:Z204)</f>
      </c>
      <c r="AA4" s="17">
        <f>SUM(AA5:AA204)</f>
      </c>
      <c r="AB4" s="17">
        <f>SUM(AB5:AB204)</f>
      </c>
      <c r="AC4" s="17">
        <f>SUM(AC5:AC204)</f>
      </c>
      <c r="AD4" s="17">
        <f>SUM(AD5:AD204)</f>
      </c>
      <c r="AE4" s="17">
        <f>SUM(AE5:AE204)</f>
      </c>
    </row>
    <row r="5">
      <c r="A5" s="10">
        <v>1</v>
      </c>
      <c r="B5" s="9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6">
        <f>(SUM(C5:Z5))+AE5</f>
      </c>
      <c r="AB5" s="7">
        <v>0</v>
      </c>
      <c r="AC5" s="2">
        <f>MIN(3, SUMPRODUCT((MOD(Streak!C5:Z5,5)=0)*(MOD(Streak!C5:Z5,10)&lt;&gt;0)*(Streak!C5:Z5&gt;0))) * 5</f>
      </c>
      <c r="AD5" s="2">
        <f>MIN(2, SUMPRODUCT((MOD(Streak!C5:Z5,10)=0)*(Streak!C5:Z5&gt;0))) * 20</f>
      </c>
      <c r="AE5" s="3">
        <f>SUM(AC5:AD5)</f>
      </c>
    </row>
    <row r="6">
      <c r="A6" s="10">
        <v>2</v>
      </c>
      <c r="B6" s="9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6">
        <f>(SUM(C6:Z6))+AE6</f>
      </c>
      <c r="AB6" s="7">
        <v>0</v>
      </c>
      <c r="AC6" s="2">
        <f>MIN(3, SUMPRODUCT((MOD(Streak!C6:Z6,5)=0)*(MOD(Streak!C6:Z6,10)&lt;&gt;0)*(Streak!C6:Z6&gt;0))) * 5</f>
      </c>
      <c r="AD6" s="2">
        <f>MIN(2, SUMPRODUCT((MOD(Streak!C6:Z6,10)=0)*(Streak!C6:Z6&gt;0))) * 20</f>
      </c>
      <c r="AE6" s="3">
        <f>SUM(AC6:AD6)</f>
      </c>
    </row>
    <row r="7">
      <c r="A7" s="10">
        <v>3</v>
      </c>
      <c r="B7" s="9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O7" s="1">
        <v>1</v>
      </c>
      <c r="P7" s="1">
        <v>1</v>
      </c>
      <c r="Q7" s="1">
        <v>1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6">
        <f>(SUM(C7:Z7))+AE7</f>
      </c>
      <c r="AB7" s="7">
        <v>0</v>
      </c>
      <c r="AC7" s="2">
        <f>MIN(3, SUMPRODUCT((MOD(Streak!C7:Z7,5)=0)*(MOD(Streak!C7:Z7,10)&lt;&gt;0)*(Streak!C7:Z7&gt;0))) * 5</f>
      </c>
      <c r="AD7" s="2">
        <f>MIN(2, SUMPRODUCT((MOD(Streak!C7:Z7,10)=0)*(Streak!C7:Z7&gt;0))) * 20</f>
      </c>
      <c r="AE7" s="3">
        <f>SUM(AC7:AD7)</f>
      </c>
    </row>
    <row r="8">
      <c r="A8" s="10">
        <v>4</v>
      </c>
      <c r="B8" s="9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1">
        <v>1</v>
      </c>
      <c r="P8" s="1">
        <v>1</v>
      </c>
      <c r="Q8" s="1">
        <v>1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6">
        <f>(SUM(C8:Z8))+AE8</f>
      </c>
      <c r="AB8" s="7">
        <v>0</v>
      </c>
      <c r="AC8" s="2">
        <f>MIN(3, SUMPRODUCT((MOD(Streak!C8:Z8,5)=0)*(MOD(Streak!C8:Z8,10)&lt;&gt;0)*(Streak!C8:Z8&gt;0))) * 5</f>
      </c>
      <c r="AD8" s="2">
        <f>MIN(2, SUMPRODUCT((MOD(Streak!C8:Z8,10)=0)*(Streak!C8:Z8&gt;0))) * 20</f>
      </c>
      <c r="AE8" s="3">
        <f>SUM(AC8:AD8)</f>
      </c>
    </row>
    <row r="9">
      <c r="A9" s="10">
        <v>5</v>
      </c>
      <c r="B9" s="9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1</v>
      </c>
      <c r="N9" s="1">
        <v>0</v>
      </c>
      <c r="O9" s="1">
        <v>1</v>
      </c>
      <c r="P9" s="1">
        <v>1</v>
      </c>
      <c r="Q9" s="1">
        <v>1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6">
        <f>(SUM(C9:Z9))+AE9</f>
      </c>
      <c r="AB9" s="7">
        <v>0</v>
      </c>
      <c r="AC9" s="2">
        <f>MIN(3, SUMPRODUCT((MOD(Streak!C9:Z9,5)=0)*(MOD(Streak!C9:Z9,10)&lt;&gt;0)*(Streak!C9:Z9&gt;0))) * 5</f>
      </c>
      <c r="AD9" s="2">
        <f>MIN(2, SUMPRODUCT((MOD(Streak!C9:Z9,10)=0)*(Streak!C9:Z9&gt;0))) * 20</f>
      </c>
      <c r="AE9" s="3">
        <f>SUM(AC9:AD9)</f>
      </c>
    </row>
    <row r="10">
      <c r="A10" s="10">
        <v>6</v>
      </c>
      <c r="B10" s="9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0</v>
      </c>
      <c r="M10" s="1">
        <v>0</v>
      </c>
      <c r="N10" s="1">
        <v>0</v>
      </c>
      <c r="O10" s="1">
        <v>1</v>
      </c>
      <c r="P10" s="1">
        <v>1</v>
      </c>
      <c r="Q10" s="1">
        <v>1</v>
      </c>
      <c r="R10" s="1">
        <v>1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6">
        <f>(SUM(C10:Z10))+AE10</f>
      </c>
      <c r="AB10" s="7">
        <v>0</v>
      </c>
      <c r="AC10" s="2">
        <f>MIN(3, SUMPRODUCT((MOD(Streak!C10:Z10,5)=0)*(MOD(Streak!C10:Z10,10)&lt;&gt;0)*(Streak!C10:Z10&gt;0))) * 5</f>
      </c>
      <c r="AD10" s="2">
        <f>MIN(2, SUMPRODUCT((MOD(Streak!C10:Z10,10)=0)*(Streak!C10:Z10&gt;0))) * 20</f>
      </c>
      <c r="AE10" s="3">
        <f>SUM(AC10:AD10)</f>
      </c>
    </row>
    <row r="11">
      <c r="A11" s="10">
        <v>7</v>
      </c>
      <c r="B11" s="9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</v>
      </c>
      <c r="N11" s="1">
        <v>1</v>
      </c>
      <c r="O11" s="1">
        <v>1</v>
      </c>
      <c r="P11" s="1">
        <v>1</v>
      </c>
      <c r="Q11" s="1">
        <v>1</v>
      </c>
      <c r="R11" s="1">
        <v>1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6">
        <f>(SUM(C11:Z11))+AE11</f>
      </c>
      <c r="AB11" s="7">
        <v>0</v>
      </c>
      <c r="AC11" s="2">
        <f>MIN(3, SUMPRODUCT((MOD(Streak!C11:Z11,5)=0)*(MOD(Streak!C11:Z11,10)&lt;&gt;0)*(Streak!C11:Z11&gt;0))) * 5</f>
      </c>
      <c r="AD11" s="2">
        <f>MIN(2, SUMPRODUCT((MOD(Streak!C11:Z11,10)=0)*(Streak!C11:Z11&gt;0))) * 20</f>
      </c>
      <c r="AE11" s="3">
        <f>SUM(AC11:AD11)</f>
      </c>
    </row>
    <row r="12">
      <c r="A12" s="10">
        <v>8</v>
      </c>
      <c r="B12" s="9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P12" s="1">
        <v>1</v>
      </c>
      <c r="Q12" s="1">
        <v>1</v>
      </c>
      <c r="R12" s="1">
        <v>1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6">
        <f>(SUM(C12:Z12))+AE12</f>
      </c>
      <c r="AB12" s="7">
        <v>0</v>
      </c>
      <c r="AC12" s="2">
        <f>MIN(3, SUMPRODUCT((MOD(Streak!C12:Z12,5)=0)*(MOD(Streak!C12:Z12,10)&lt;&gt;0)*(Streak!C12:Z12&gt;0))) * 5</f>
      </c>
      <c r="AD12" s="2">
        <f>MIN(2, SUMPRODUCT((MOD(Streak!C12:Z12,10)=0)*(Streak!C12:Z12&gt;0))) * 20</f>
      </c>
      <c r="AE12" s="3">
        <f>SUM(AC12:AD12)</f>
      </c>
    </row>
    <row r="13">
      <c r="A13" s="10">
        <v>9</v>
      </c>
      <c r="B13" s="9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0</v>
      </c>
      <c r="L13" s="1">
        <v>1</v>
      </c>
      <c r="M13" s="1">
        <v>1</v>
      </c>
      <c r="N13" s="1">
        <v>1</v>
      </c>
      <c r="O13" s="1">
        <v>1</v>
      </c>
      <c r="P13" s="1">
        <v>1</v>
      </c>
      <c r="Q13" s="1">
        <v>1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6">
        <f>(SUM(C13:Z13))+AE13</f>
      </c>
      <c r="AB13" s="7">
        <v>0</v>
      </c>
      <c r="AC13" s="2">
        <f>MIN(3, SUMPRODUCT((MOD(Streak!C13:Z13,5)=0)*(MOD(Streak!C13:Z13,10)&lt;&gt;0)*(Streak!C13:Z13&gt;0))) * 5</f>
      </c>
      <c r="AD13" s="2">
        <f>MIN(2, SUMPRODUCT((MOD(Streak!C13:Z13,10)=0)*(Streak!C13:Z13&gt;0))) * 20</f>
      </c>
      <c r="AE13" s="3">
        <f>SUM(AC13:AD13)</f>
      </c>
    </row>
    <row r="14">
      <c r="A14" s="10">
        <v>10</v>
      </c>
      <c r="B14" s="9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P14" s="1">
        <v>1</v>
      </c>
      <c r="Q14" s="1">
        <v>0</v>
      </c>
      <c r="R14" s="1">
        <v>1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6">
        <f>(SUM(C14:Z14))+AE14</f>
      </c>
      <c r="AB14" s="7">
        <v>0</v>
      </c>
      <c r="AC14" s="2">
        <f>MIN(3, SUMPRODUCT((MOD(Streak!C14:Z14,5)=0)*(MOD(Streak!C14:Z14,10)&lt;&gt;0)*(Streak!C14:Z14&gt;0))) * 5</f>
      </c>
      <c r="AD14" s="2">
        <f>MIN(2, SUMPRODUCT((MOD(Streak!C14:Z14,10)=0)*(Streak!C14:Z14&gt;0))) * 20</f>
      </c>
      <c r="AE14" s="3">
        <f>SUM(AC14:AD14)</f>
      </c>
    </row>
    <row r="15">
      <c r="A15" s="10">
        <v>11</v>
      </c>
      <c r="B15" s="9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6">
        <f>(SUM(C15:Z15))+AE15</f>
      </c>
      <c r="AB15" s="7">
        <v>0</v>
      </c>
      <c r="AC15" s="2">
        <f>MIN(3, SUMPRODUCT((MOD(Streak!C15:Z15,5)=0)*(MOD(Streak!C15:Z15,10)&lt;&gt;0)*(Streak!C15:Z15&gt;0))) * 5</f>
      </c>
      <c r="AD15" s="2">
        <f>MIN(2, SUMPRODUCT((MOD(Streak!C15:Z15,10)=0)*(Streak!C15:Z15&gt;0))) * 20</f>
      </c>
      <c r="AE15" s="3">
        <f>SUM(AC15:AD15)</f>
      </c>
    </row>
    <row r="16">
      <c r="A16" s="10">
        <v>12</v>
      </c>
      <c r="B16" s="9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6">
        <f>(SUM(C16:Z16))+AE16</f>
      </c>
      <c r="AB16" s="7">
        <v>0</v>
      </c>
      <c r="AC16" s="2">
        <f>MIN(3, SUMPRODUCT((MOD(Streak!C16:Z16,5)=0)*(MOD(Streak!C16:Z16,10)&lt;&gt;0)*(Streak!C16:Z16&gt;0))) * 5</f>
      </c>
      <c r="AD16" s="2">
        <f>MIN(2, SUMPRODUCT((MOD(Streak!C16:Z16,10)=0)*(Streak!C16:Z16&gt;0))) * 20</f>
      </c>
      <c r="AE16" s="3">
        <f>SUM(AC16:AD16)</f>
      </c>
    </row>
    <row r="17">
      <c r="A17" s="10">
        <v>13</v>
      </c>
      <c r="B17" s="9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1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6">
        <f>(SUM(C17:Z17))+AE17</f>
      </c>
      <c r="AB17" s="7">
        <v>0</v>
      </c>
      <c r="AC17" s="2">
        <f>MIN(3, SUMPRODUCT((MOD(Streak!C17:Z17,5)=0)*(MOD(Streak!C17:Z17,10)&lt;&gt;0)*(Streak!C17:Z17&gt;0))) * 5</f>
      </c>
      <c r="AD17" s="2">
        <f>MIN(2, SUMPRODUCT((MOD(Streak!C17:Z17,10)=0)*(Streak!C17:Z17&gt;0))) * 20</f>
      </c>
      <c r="AE17" s="3">
        <f>SUM(AC17:AD17)</f>
      </c>
    </row>
    <row r="18">
      <c r="A18" s="10">
        <v>14</v>
      </c>
      <c r="B18" s="9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1</v>
      </c>
      <c r="N18" s="1">
        <v>1</v>
      </c>
      <c r="O18" s="1">
        <v>1</v>
      </c>
      <c r="P18" s="1">
        <v>1</v>
      </c>
      <c r="Q18" s="1">
        <v>1</v>
      </c>
      <c r="R18" s="1">
        <v>1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6">
        <f>(SUM(C18:Z18))+AE18</f>
      </c>
      <c r="AB18" s="7">
        <v>0</v>
      </c>
      <c r="AC18" s="2">
        <f>MIN(3, SUMPRODUCT((MOD(Streak!C18:Z18,5)=0)*(MOD(Streak!C18:Z18,10)&lt;&gt;0)*(Streak!C18:Z18&gt;0))) * 5</f>
      </c>
      <c r="AD18" s="2">
        <f>MIN(2, SUMPRODUCT((MOD(Streak!C18:Z18,10)=0)*(Streak!C18:Z18&gt;0))) * 20</f>
      </c>
      <c r="AE18" s="3">
        <f>SUM(AC18:AD18)</f>
      </c>
    </row>
    <row r="19">
      <c r="A19" s="10">
        <v>15</v>
      </c>
      <c r="B19" s="9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1</v>
      </c>
      <c r="K19" s="1">
        <v>0</v>
      </c>
      <c r="L19" s="1">
        <v>1</v>
      </c>
      <c r="M19" s="1">
        <v>0</v>
      </c>
      <c r="N19" s="1">
        <v>1</v>
      </c>
      <c r="O19" s="1">
        <v>1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6">
        <f>(SUM(C19:Z19))+AE19</f>
      </c>
      <c r="AB19" s="7">
        <v>0</v>
      </c>
      <c r="AC19" s="2">
        <f>MIN(3, SUMPRODUCT((MOD(Streak!C19:Z19,5)=0)*(MOD(Streak!C19:Z19,10)&lt;&gt;0)*(Streak!C19:Z19&gt;0))) * 5</f>
      </c>
      <c r="AD19" s="2">
        <f>MIN(2, SUMPRODUCT((MOD(Streak!C19:Z19,10)=0)*(Streak!C19:Z19&gt;0))) * 20</f>
      </c>
      <c r="AE19" s="3">
        <f>SUM(AC19:AD19)</f>
      </c>
    </row>
    <row r="20">
      <c r="A20" s="10">
        <v>16</v>
      </c>
      <c r="B20" s="9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1</v>
      </c>
      <c r="K20" s="1">
        <v>0</v>
      </c>
      <c r="L20" s="1">
        <v>1</v>
      </c>
      <c r="M20" s="1">
        <v>0</v>
      </c>
      <c r="N20" s="1">
        <v>1</v>
      </c>
      <c r="O20" s="1">
        <v>1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6">
        <f>(SUM(C20:Z20))+AE20</f>
      </c>
      <c r="AB20" s="7">
        <v>0</v>
      </c>
      <c r="AC20" s="2">
        <f>MIN(3, SUMPRODUCT((MOD(Streak!C20:Z20,5)=0)*(MOD(Streak!C20:Z20,10)&lt;&gt;0)*(Streak!C20:Z20&gt;0))) * 5</f>
      </c>
      <c r="AD20" s="2">
        <f>MIN(2, SUMPRODUCT((MOD(Streak!C20:Z20,10)=0)*(Streak!C20:Z20&gt;0))) * 20</f>
      </c>
      <c r="AE20" s="3">
        <f>SUM(AC20:AD20)</f>
      </c>
    </row>
    <row r="21">
      <c r="A21" s="10">
        <v>17</v>
      </c>
      <c r="B21" s="9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6">
        <f>(SUM(C21:Z21))+AE21</f>
      </c>
      <c r="AB21" s="7">
        <v>0</v>
      </c>
      <c r="AC21" s="2">
        <f>MIN(3, SUMPRODUCT((MOD(Streak!C21:Z21,5)=0)*(MOD(Streak!C21:Z21,10)&lt;&gt;0)*(Streak!C21:Z21&gt;0))) * 5</f>
      </c>
      <c r="AD21" s="2">
        <f>MIN(2, SUMPRODUCT((MOD(Streak!C21:Z21,10)=0)*(Streak!C21:Z21&gt;0))) * 20</f>
      </c>
      <c r="AE21" s="3">
        <f>SUM(AC21:AD21)</f>
      </c>
    </row>
    <row r="22">
      <c r="A22" s="10">
        <v>18</v>
      </c>
      <c r="B22" s="9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6">
        <f>(SUM(C22:Z22))+AE22</f>
      </c>
      <c r="AB22" s="7">
        <v>0</v>
      </c>
      <c r="AC22" s="2">
        <f>MIN(3, SUMPRODUCT((MOD(Streak!C22:Z22,5)=0)*(MOD(Streak!C22:Z22,10)&lt;&gt;0)*(Streak!C22:Z22&gt;0))) * 5</f>
      </c>
      <c r="AD22" s="2">
        <f>MIN(2, SUMPRODUCT((MOD(Streak!C22:Z22,10)=0)*(Streak!C22:Z22&gt;0))) * 20</f>
      </c>
      <c r="AE22" s="3">
        <f>SUM(AC22:AD22)</f>
      </c>
    </row>
    <row r="23">
      <c r="A23" s="10">
        <v>19</v>
      </c>
      <c r="B23" s="9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0</v>
      </c>
      <c r="M23" s="1">
        <v>1</v>
      </c>
      <c r="N23" s="1">
        <v>1</v>
      </c>
      <c r="O23" s="1">
        <v>0</v>
      </c>
      <c r="P23" s="1">
        <v>1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6">
        <f>(SUM(C23:Z23))+AE23</f>
      </c>
      <c r="AB23" s="7">
        <v>0</v>
      </c>
      <c r="AC23" s="2">
        <f>MIN(3, SUMPRODUCT((MOD(Streak!C23:Z23,5)=0)*(MOD(Streak!C23:Z23,10)&lt;&gt;0)*(Streak!C23:Z23&gt;0))) * 5</f>
      </c>
      <c r="AD23" s="2">
        <f>MIN(2, SUMPRODUCT((MOD(Streak!C23:Z23,10)=0)*(Streak!C23:Z23&gt;0))) * 20</f>
      </c>
      <c r="AE23" s="3">
        <f>SUM(AC23:AD23)</f>
      </c>
    </row>
    <row r="24">
      <c r="A24" s="10">
        <v>20</v>
      </c>
      <c r="B24" s="9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</v>
      </c>
      <c r="N24" s="1">
        <v>1</v>
      </c>
      <c r="O24" s="1">
        <v>1</v>
      </c>
      <c r="P24" s="1">
        <v>1</v>
      </c>
      <c r="Q24" s="1">
        <v>1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6">
        <f>(SUM(C24:Z24))+AE24</f>
      </c>
      <c r="AB24" s="7">
        <v>0</v>
      </c>
      <c r="AC24" s="2">
        <f>MIN(3, SUMPRODUCT((MOD(Streak!C24:Z24,5)=0)*(MOD(Streak!C24:Z24,10)&lt;&gt;0)*(Streak!C24:Z24&gt;0))) * 5</f>
      </c>
      <c r="AD24" s="2">
        <f>MIN(2, SUMPRODUCT((MOD(Streak!C24:Z24,10)=0)*(Streak!C24:Z24&gt;0))) * 20</f>
      </c>
      <c r="AE24" s="3">
        <f>SUM(AC24:AD24)</f>
      </c>
    </row>
    <row r="25">
      <c r="A25" s="10">
        <v>21</v>
      </c>
      <c r="B25" s="9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6">
        <f>(SUM(C25:Z25))+AE25</f>
      </c>
      <c r="AB25" s="7">
        <v>0</v>
      </c>
      <c r="AC25" s="2">
        <f>MIN(3, SUMPRODUCT((MOD(Streak!C25:Z25,5)=0)*(MOD(Streak!C25:Z25,10)&lt;&gt;0)*(Streak!C25:Z25&gt;0))) * 5</f>
      </c>
      <c r="AD25" s="2">
        <f>MIN(2, SUMPRODUCT((MOD(Streak!C25:Z25,10)=0)*(Streak!C25:Z25&gt;0))) * 20</f>
      </c>
      <c r="AE25" s="3">
        <f>SUM(AC25:AD25)</f>
      </c>
    </row>
    <row r="26">
      <c r="A26" s="10">
        <v>22</v>
      </c>
      <c r="B26" s="9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6">
        <f>(SUM(C26:Z26))+AE26</f>
      </c>
      <c r="AB26" s="7">
        <v>0</v>
      </c>
      <c r="AC26" s="2">
        <f>MIN(3, SUMPRODUCT((MOD(Streak!C26:Z26,5)=0)*(MOD(Streak!C26:Z26,10)&lt;&gt;0)*(Streak!C26:Z26&gt;0))) * 5</f>
      </c>
      <c r="AD26" s="2">
        <f>MIN(2, SUMPRODUCT((MOD(Streak!C26:Z26,10)=0)*(Streak!C26:Z26&gt;0))) * 20</f>
      </c>
      <c r="AE26" s="3">
        <f>SUM(AC26:AD26)</f>
      </c>
    </row>
    <row r="27">
      <c r="A27" s="10">
        <v>23</v>
      </c>
      <c r="B27" s="9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0</v>
      </c>
      <c r="P27" s="1">
        <v>1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6">
        <f>(SUM(C27:Z27))+AE27</f>
      </c>
      <c r="AB27" s="7">
        <v>0</v>
      </c>
      <c r="AC27" s="2">
        <f>MIN(3, SUMPRODUCT((MOD(Streak!C27:Z27,5)=0)*(MOD(Streak!C27:Z27,10)&lt;&gt;0)*(Streak!C27:Z27&gt;0))) * 5</f>
      </c>
      <c r="AD27" s="2">
        <f>MIN(2, SUMPRODUCT((MOD(Streak!C27:Z27,10)=0)*(Streak!C27:Z27&gt;0))) * 20</f>
      </c>
      <c r="AE27" s="3">
        <f>SUM(AC27:AD27)</f>
      </c>
    </row>
    <row r="28">
      <c r="A28" s="10">
        <v>24</v>
      </c>
      <c r="B28" s="9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1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6">
        <f>(SUM(C28:Z28))+AE28</f>
      </c>
      <c r="AB28" s="7">
        <v>0</v>
      </c>
      <c r="AC28" s="2">
        <f>MIN(3, SUMPRODUCT((MOD(Streak!C28:Z28,5)=0)*(MOD(Streak!C28:Z28,10)&lt;&gt;0)*(Streak!C28:Z28&gt;0))) * 5</f>
      </c>
      <c r="AD28" s="2">
        <f>MIN(2, SUMPRODUCT((MOD(Streak!C28:Z28,10)=0)*(Streak!C28:Z28&gt;0))) * 20</f>
      </c>
      <c r="AE28" s="3">
        <f>SUM(AC28:AD28)</f>
      </c>
    </row>
    <row r="29">
      <c r="A29" s="10">
        <v>25</v>
      </c>
      <c r="B29" s="9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6">
        <f>(SUM(C29:Z29))+AE29</f>
      </c>
      <c r="AB29" s="7">
        <v>0</v>
      </c>
      <c r="AC29" s="2">
        <f>MIN(3, SUMPRODUCT((MOD(Streak!C29:Z29,5)=0)*(MOD(Streak!C29:Z29,10)&lt;&gt;0)*(Streak!C29:Z29&gt;0))) * 5</f>
      </c>
      <c r="AD29" s="2">
        <f>MIN(2, SUMPRODUCT((MOD(Streak!C29:Z29,10)=0)*(Streak!C29:Z29&gt;0))) * 20</f>
      </c>
      <c r="AE29" s="3">
        <f>SUM(AC29:AD29)</f>
      </c>
    </row>
    <row r="30">
      <c r="A30" s="10">
        <v>26</v>
      </c>
      <c r="B30" s="9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6">
        <f>(SUM(C30:Z30))+AE30</f>
      </c>
      <c r="AB30" s="7">
        <v>0</v>
      </c>
      <c r="AC30" s="2">
        <f>MIN(3, SUMPRODUCT((MOD(Streak!C30:Z30,5)=0)*(MOD(Streak!C30:Z30,10)&lt;&gt;0)*(Streak!C30:Z30&gt;0))) * 5</f>
      </c>
      <c r="AD30" s="2">
        <f>MIN(2, SUMPRODUCT((MOD(Streak!C30:Z30,10)=0)*(Streak!C30:Z30&gt;0))) * 20</f>
      </c>
      <c r="AE30" s="3">
        <f>SUM(AC30:AD30)</f>
      </c>
    </row>
    <row r="31">
      <c r="A31" s="10">
        <v>27</v>
      </c>
      <c r="B31" s="9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1</v>
      </c>
      <c r="N31" s="1">
        <v>1</v>
      </c>
      <c r="O31" s="1">
        <v>1</v>
      </c>
      <c r="P31" s="1">
        <v>1</v>
      </c>
      <c r="Q31" s="1">
        <v>1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6">
        <f>(SUM(C31:Z31))+AE31</f>
      </c>
      <c r="AB31" s="7">
        <v>0</v>
      </c>
      <c r="AC31" s="2">
        <f>MIN(3, SUMPRODUCT((MOD(Streak!C31:Z31,5)=0)*(MOD(Streak!C31:Z31,10)&lt;&gt;0)*(Streak!C31:Z31&gt;0))) * 5</f>
      </c>
      <c r="AD31" s="2">
        <f>MIN(2, SUMPRODUCT((MOD(Streak!C31:Z31,10)=0)*(Streak!C31:Z31&gt;0))) * 20</f>
      </c>
      <c r="AE31" s="3">
        <f>SUM(AC31:AD31)</f>
      </c>
    </row>
    <row r="32">
      <c r="A32" s="10">
        <v>28</v>
      </c>
      <c r="B32" s="9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0</v>
      </c>
      <c r="L32" s="1">
        <v>1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6">
        <f>(SUM(C32:Z32))+AE32</f>
      </c>
      <c r="AB32" s="7">
        <v>0</v>
      </c>
      <c r="AC32" s="2">
        <f>MIN(3, SUMPRODUCT((MOD(Streak!C32:Z32,5)=0)*(MOD(Streak!C32:Z32,10)&lt;&gt;0)*(Streak!C32:Z32&gt;0))) * 5</f>
      </c>
      <c r="AD32" s="2">
        <f>MIN(2, SUMPRODUCT((MOD(Streak!C32:Z32,10)=0)*(Streak!C32:Z32&gt;0))) * 20</f>
      </c>
      <c r="AE32" s="3">
        <f>SUM(AC32:AD32)</f>
      </c>
    </row>
    <row r="33">
      <c r="A33" s="10">
        <v>29</v>
      </c>
      <c r="B33" s="9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6">
        <f>(SUM(C33:Z33))+AE33</f>
      </c>
      <c r="AB33" s="7">
        <v>0</v>
      </c>
      <c r="AC33" s="2">
        <f>MIN(3, SUMPRODUCT((MOD(Streak!C33:Z33,5)=0)*(MOD(Streak!C33:Z33,10)&lt;&gt;0)*(Streak!C33:Z33&gt;0))) * 5</f>
      </c>
      <c r="AD33" s="2">
        <f>MIN(2, SUMPRODUCT((MOD(Streak!C33:Z33,10)=0)*(Streak!C33:Z33&gt;0))) * 20</f>
      </c>
      <c r="AE33" s="3">
        <f>SUM(AC33:AD33)</f>
      </c>
    </row>
    <row r="34">
      <c r="A34" s="10">
        <v>30</v>
      </c>
      <c r="B34" s="9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6">
        <f>(SUM(C34:Z34))+AE34</f>
      </c>
      <c r="AB34" s="7">
        <v>0</v>
      </c>
      <c r="AC34" s="2">
        <f>MIN(3, SUMPRODUCT((MOD(Streak!C34:Z34,5)=0)*(MOD(Streak!C34:Z34,10)&lt;&gt;0)*(Streak!C34:Z34&gt;0))) * 5</f>
      </c>
      <c r="AD34" s="2">
        <f>MIN(2, SUMPRODUCT((MOD(Streak!C34:Z34,10)=0)*(Streak!C34:Z34&gt;0))) * 20</f>
      </c>
      <c r="AE34" s="3">
        <f>SUM(AC34:AD34)</f>
      </c>
    </row>
    <row r="35">
      <c r="A35" s="4">
        <v>31</v>
      </c>
      <c r="B35" s="5" t="str">
        <v>JAMberAPA12</v>
      </c>
      <c r="C35" s="23">
        <v>0</v>
      </c>
      <c r="D35" s="23">
        <v>0</v>
      </c>
      <c r="E35" s="23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6">
        <f>(SUM(C35:Z35))+AE35</f>
      </c>
      <c r="AB35" s="7">
        <v>0</v>
      </c>
      <c r="AC35" s="2">
        <f>MIN(3, SUMPRODUCT((MOD(Streak!C35:Z35,5)=0)*(MOD(Streak!C35:Z35,10)&lt;&gt;0)*(Streak!C35:Z35&gt;0))) * 5</f>
      </c>
      <c r="AD35" s="2">
        <f>MIN(2, SUMPRODUCT((MOD(Streak!C35:Z35,10)=0)*(Streak!C35:Z35&gt;0))) * 20</f>
      </c>
      <c r="AE35" s="3">
        <f>SUM(AC35:AD35)</f>
      </c>
    </row>
    <row r="36">
      <c r="A36" s="4">
        <v>32</v>
      </c>
      <c r="B36" s="5" t="str">
        <v>FerryGood</v>
      </c>
      <c r="C36" s="23">
        <v>0</v>
      </c>
      <c r="D36" s="23">
        <v>0</v>
      </c>
      <c r="E36" s="23">
        <v>1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6">
        <f>(SUM(C36:Z36))+AE36</f>
      </c>
      <c r="AB36" s="7">
        <v>0</v>
      </c>
      <c r="AC36" s="2">
        <f>MIN(3, SUMPRODUCT((MOD(Streak!C36:Z36,5)=0)*(MOD(Streak!C36:Z36,10)&lt;&gt;0)*(Streak!C36:Z36&gt;0))) * 5</f>
      </c>
      <c r="AD36" s="2">
        <f>MIN(2, SUMPRODUCT((MOD(Streak!C36:Z36,10)=0)*(Streak!C36:Z36&gt;0))) * 20</f>
      </c>
      <c r="AE36" s="3">
        <f>SUM(AC36:AD36)</f>
      </c>
    </row>
    <row r="37">
      <c r="A37" s="4">
        <v>33</v>
      </c>
      <c r="B37" s="5" t="str">
        <v>messiLeo</v>
      </c>
      <c r="C37" s="23">
        <v>0</v>
      </c>
      <c r="D37" s="23">
        <v>0</v>
      </c>
      <c r="E37" s="23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6">
        <f>(SUM(C37:Z37))+AE37</f>
      </c>
      <c r="AB37" s="7">
        <v>0</v>
      </c>
      <c r="AC37" s="2">
        <f>MIN(3, SUMPRODUCT((MOD(Streak!C37:Z37,5)=0)*(MOD(Streak!C37:Z37,10)&lt;&gt;0)*(Streak!C37:Z37&gt;0))) * 5</f>
      </c>
      <c r="AD37" s="2">
        <f>MIN(2, SUMPRODUCT((MOD(Streak!C37:Z37,10)=0)*(Streak!C37:Z37&gt;0))) * 20</f>
      </c>
      <c r="AE37" s="3">
        <f>SUM(AC37:AD37)</f>
      </c>
    </row>
    <row r="38">
      <c r="A38" s="4">
        <v>34</v>
      </c>
      <c r="B38" s="5" t="str">
        <v>KepomponG✅</v>
      </c>
      <c r="C38" s="23">
        <v>0</v>
      </c>
      <c r="D38" s="23">
        <v>0</v>
      </c>
      <c r="E38" s="23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6">
        <f>(SUM(C38:Z38))+AE38</f>
      </c>
      <c r="AB38" s="7">
        <v>0</v>
      </c>
      <c r="AC38" s="2">
        <f>MIN(3, SUMPRODUCT((MOD(Streak!C38:Z38,5)=0)*(MOD(Streak!C38:Z38,10)&lt;&gt;0)*(Streak!C38:Z38&gt;0))) * 5</f>
      </c>
      <c r="AD38" s="2">
        <f>MIN(2, SUMPRODUCT((MOD(Streak!C38:Z38,10)=0)*(Streak!C38:Z38&gt;0))) * 20</f>
      </c>
      <c r="AE38" s="3">
        <f>SUM(AC38:AD38)</f>
      </c>
    </row>
    <row r="39">
      <c r="A39" s="4">
        <v>35</v>
      </c>
      <c r="B39" s="5" t="str" xml:space="preserve">
        <v>Yuli </v>
      </c>
      <c r="C39" s="23">
        <v>0</v>
      </c>
      <c r="D39" s="23">
        <v>1</v>
      </c>
      <c r="E39" s="23">
        <v>1</v>
      </c>
      <c r="F39" s="1">
        <v>1</v>
      </c>
      <c r="G39" s="1">
        <v>1</v>
      </c>
      <c r="H39" s="1">
        <v>1</v>
      </c>
      <c r="I39" s="1">
        <v>0</v>
      </c>
      <c r="J39" s="1">
        <v>1</v>
      </c>
      <c r="K39" s="1">
        <v>1</v>
      </c>
      <c r="L39" s="1">
        <v>1</v>
      </c>
      <c r="M39" s="1">
        <v>1</v>
      </c>
      <c r="N39" s="1">
        <v>1</v>
      </c>
      <c r="O39" s="1">
        <v>1</v>
      </c>
      <c r="P39" s="1">
        <v>1</v>
      </c>
      <c r="Q39" s="1">
        <v>1</v>
      </c>
      <c r="R39" s="1">
        <v>1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6">
        <f>(SUM(C39:Z39))+AE39</f>
      </c>
      <c r="AB39" s="7">
        <v>0</v>
      </c>
      <c r="AC39" s="2">
        <f>MIN(3, SUMPRODUCT((MOD(Streak!C39:Z39,5)=0)*(MOD(Streak!C39:Z39,10)&lt;&gt;0)*(Streak!C39:Z39&gt;0))) * 5</f>
      </c>
      <c r="AD39" s="2">
        <f>MIN(2, SUMPRODUCT((MOD(Streak!C39:Z39,10)=0)*(Streak!C39:Z39&gt;0))) * 20</f>
      </c>
      <c r="AE39" s="3">
        <f>SUM(AC39:AD39)</f>
      </c>
    </row>
    <row r="40">
      <c r="A40" s="4">
        <v>36</v>
      </c>
      <c r="B40" s="5" t="str">
        <v>GELPHY ✅</v>
      </c>
      <c r="C40" s="23">
        <v>0</v>
      </c>
      <c r="D40" s="23">
        <v>0</v>
      </c>
      <c r="E40" s="23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1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6">
        <f>(SUM(C40:Z40))+AE40</f>
      </c>
      <c r="AB40" s="7">
        <v>0</v>
      </c>
      <c r="AC40" s="2">
        <f>MIN(3, SUMPRODUCT((MOD(Streak!C40:Z40,5)=0)*(MOD(Streak!C40:Z40,10)&lt;&gt;0)*(Streak!C40:Z40&gt;0))) * 5</f>
      </c>
      <c r="AD40" s="2">
        <f>MIN(2, SUMPRODUCT((MOD(Streak!C40:Z40,10)=0)*(Streak!C40:Z40&gt;0))) * 20</f>
      </c>
      <c r="AE40" s="3">
        <f>SUM(AC40:AD40)</f>
      </c>
    </row>
    <row r="41">
      <c r="A41" s="4">
        <v>37</v>
      </c>
      <c r="B41" s="5" t="str">
        <v>Darso</v>
      </c>
      <c r="C41" s="23">
        <v>0</v>
      </c>
      <c r="D41" s="23">
        <v>0</v>
      </c>
      <c r="E41" s="23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6">
        <f>(SUM(C41:Z41))+AE41</f>
      </c>
      <c r="AB41" s="7">
        <v>0</v>
      </c>
      <c r="AC41" s="2">
        <f>MIN(3, SUMPRODUCT((MOD(Streak!C41:Z41,5)=0)*(MOD(Streak!C41:Z41,10)&lt;&gt;0)*(Streak!C41:Z41&gt;0))) * 5</f>
      </c>
      <c r="AD41" s="2">
        <f>MIN(2, SUMPRODUCT((MOD(Streak!C41:Z41,10)=0)*(Streak!C41:Z41&gt;0))) * 20</f>
      </c>
      <c r="AE41" s="3">
        <f>SUM(AC41:AD41)</f>
      </c>
    </row>
    <row r="42">
      <c r="A42" s="4">
        <v>38</v>
      </c>
      <c r="B42" s="5" t="str">
        <v>Zuna76</v>
      </c>
      <c r="C42" s="23">
        <v>0</v>
      </c>
      <c r="D42" s="23">
        <v>0</v>
      </c>
      <c r="E42" s="23">
        <v>1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1</v>
      </c>
      <c r="Q42" s="1">
        <v>0</v>
      </c>
      <c r="R42" s="1">
        <v>1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6">
        <f>(SUM(C42:Z42))+AE42</f>
      </c>
      <c r="AB42" s="7">
        <v>0</v>
      </c>
      <c r="AC42" s="2">
        <f>MIN(3, SUMPRODUCT((MOD(Streak!C42:Z42,5)=0)*(MOD(Streak!C42:Z42,10)&lt;&gt;0)*(Streak!C42:Z42&gt;0))) * 5</f>
      </c>
      <c r="AD42" s="2">
        <f>MIN(2, SUMPRODUCT((MOD(Streak!C42:Z42,10)=0)*(Streak!C42:Z42&gt;0))) * 20</f>
      </c>
      <c r="AE42" s="3">
        <f>SUM(AC42:AD42)</f>
      </c>
    </row>
    <row r="43">
      <c r="A43" s="4">
        <v>39</v>
      </c>
      <c r="B43" s="5" t="str">
        <v>Peyeri1906</v>
      </c>
      <c r="C43" s="23">
        <v>0</v>
      </c>
      <c r="D43" s="23">
        <v>1</v>
      </c>
      <c r="E43" s="23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</v>
      </c>
      <c r="N43" s="1">
        <v>1</v>
      </c>
      <c r="O43" s="1">
        <v>1</v>
      </c>
      <c r="P43" s="1">
        <v>1</v>
      </c>
      <c r="Q43" s="1">
        <v>1</v>
      </c>
      <c r="R43" s="1">
        <v>1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6">
        <f>(SUM(C43:Z43))+AE43</f>
      </c>
      <c r="AB43" s="7">
        <v>0</v>
      </c>
      <c r="AC43" s="2">
        <f>MIN(3, SUMPRODUCT((MOD(Streak!C43:Z43,5)=0)*(MOD(Streak!C43:Z43,10)&lt;&gt;0)*(Streak!C43:Z43&gt;0))) * 5</f>
      </c>
      <c r="AD43" s="2">
        <f>MIN(2, SUMPRODUCT((MOD(Streak!C43:Z43,10)=0)*(Streak!C43:Z43&gt;0))) * 20</f>
      </c>
      <c r="AE43" s="3">
        <f>SUM(AC43:AD43)</f>
      </c>
    </row>
    <row r="44">
      <c r="A44" s="4">
        <v>40</v>
      </c>
      <c r="B44" s="5" t="str">
        <v>Lani</v>
      </c>
      <c r="C44" s="23">
        <v>0</v>
      </c>
      <c r="D44" s="23">
        <v>0</v>
      </c>
      <c r="E44" s="23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6">
        <f>(SUM(C44:Z44))+AE44</f>
      </c>
      <c r="AB44" s="7">
        <v>0</v>
      </c>
      <c r="AC44" s="2">
        <f>MIN(3, SUMPRODUCT((MOD(Streak!C44:Z44,5)=0)*(MOD(Streak!C44:Z44,10)&lt;&gt;0)*(Streak!C44:Z44&gt;0))) * 5</f>
      </c>
      <c r="AD44" s="2">
        <f>MIN(2, SUMPRODUCT((MOD(Streak!C44:Z44,10)=0)*(Streak!C44:Z44&gt;0))) * 20</f>
      </c>
      <c r="AE44" s="3">
        <f>SUM(AC44:AD44)</f>
      </c>
    </row>
    <row r="45">
      <c r="A45" s="4">
        <v>41</v>
      </c>
      <c r="B45" s="5" t="str">
        <v>mytradding</v>
      </c>
      <c r="C45" s="23">
        <v>0</v>
      </c>
      <c r="D45" s="23">
        <v>0</v>
      </c>
      <c r="E45" s="23">
        <v>1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6">
        <f>(SUM(C45:Z45))+AE45</f>
      </c>
      <c r="AB45" s="7">
        <v>0</v>
      </c>
      <c r="AC45" s="2">
        <f>MIN(3, SUMPRODUCT((MOD(Streak!C45:Z45,5)=0)*(MOD(Streak!C45:Z45,10)&lt;&gt;0)*(Streak!C45:Z45&gt;0))) * 5</f>
      </c>
      <c r="AD45" s="2">
        <f>MIN(2, SUMPRODUCT((MOD(Streak!C45:Z45,10)=0)*(Streak!C45:Z45&gt;0))) * 20</f>
      </c>
      <c r="AE45" s="3">
        <f>SUM(AC45:AD45)</f>
      </c>
    </row>
    <row r="46">
      <c r="A46" s="4">
        <v>42</v>
      </c>
      <c r="B46" s="5" t="str">
        <v>Bejo09</v>
      </c>
      <c r="C46" s="23">
        <v>0</v>
      </c>
      <c r="D46" s="23">
        <v>0</v>
      </c>
      <c r="E46" s="23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6">
        <f>(SUM(C46:Z46))+AE46</f>
      </c>
      <c r="AB46" s="7">
        <v>0</v>
      </c>
      <c r="AC46" s="2">
        <f>MIN(3, SUMPRODUCT((MOD(Streak!C46:Z46,5)=0)*(MOD(Streak!C46:Z46,10)&lt;&gt;0)*(Streak!C46:Z46&gt;0))) * 5</f>
      </c>
      <c r="AD46" s="2">
        <f>MIN(2, SUMPRODUCT((MOD(Streak!C46:Z46,10)=0)*(Streak!C46:Z46&gt;0))) * 20</f>
      </c>
      <c r="AE46" s="3">
        <f>SUM(AC46:AD46)</f>
      </c>
    </row>
    <row r="47">
      <c r="A47" s="4">
        <v>43</v>
      </c>
      <c r="B47" s="5" t="str" xml:space="preserve">
        <v>FAAHAS </v>
      </c>
      <c r="C47" s="23">
        <v>0</v>
      </c>
      <c r="D47" s="23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6">
        <f>(SUM(C47:Z47))+AE47</f>
      </c>
      <c r="AB47" s="7">
        <v>0</v>
      </c>
      <c r="AC47" s="2">
        <f>MIN(3, SUMPRODUCT((MOD(Streak!C47:Z47,5)=0)*(MOD(Streak!C47:Z47,10)&lt;&gt;0)*(Streak!C47:Z47&gt;0))) * 5</f>
      </c>
      <c r="AD47" s="2">
        <f>MIN(2, SUMPRODUCT((MOD(Streak!C47:Z47,10)=0)*(Streak!C47:Z47&gt;0))) * 20</f>
      </c>
      <c r="AE47" s="3">
        <f>SUM(AC47:AD47)</f>
      </c>
    </row>
    <row r="48">
      <c r="A48" s="4">
        <v>44</v>
      </c>
      <c r="B48" s="5" t="str">
        <v>Mr.Eko</v>
      </c>
      <c r="C48" s="23">
        <v>0</v>
      </c>
      <c r="D48" s="23">
        <v>1</v>
      </c>
      <c r="E48" s="23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1</v>
      </c>
      <c r="L48" s="1">
        <v>0</v>
      </c>
      <c r="M48" s="1">
        <v>0</v>
      </c>
      <c r="N48" s="1">
        <v>1</v>
      </c>
      <c r="O48" s="1">
        <v>1</v>
      </c>
      <c r="P48" s="1">
        <v>1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6">
        <f>(SUM(C48:Z48))+AE48</f>
      </c>
      <c r="AB48" s="7">
        <v>0</v>
      </c>
      <c r="AC48" s="2">
        <f>MIN(3, SUMPRODUCT((MOD(Streak!C48:Z48,5)=0)*(MOD(Streak!C48:Z48,10)&lt;&gt;0)*(Streak!C48:Z48&gt;0))) * 5</f>
      </c>
      <c r="AD48" s="2">
        <f>MIN(2, SUMPRODUCT((MOD(Streak!C48:Z48,10)=0)*(Streak!C48:Z48&gt;0))) * 20</f>
      </c>
      <c r="AE48" s="3">
        <f>SUM(AC48:AD48)</f>
      </c>
    </row>
    <row r="49">
      <c r="A49" s="4">
        <v>45</v>
      </c>
      <c r="B49" s="5" t="str">
        <v>ernaeky788</v>
      </c>
      <c r="C49" s="23">
        <v>0</v>
      </c>
      <c r="D49" s="23">
        <v>1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6">
        <f>(SUM(C49:Z49))+AE49</f>
      </c>
      <c r="AB49" s="7">
        <v>0</v>
      </c>
      <c r="AC49" s="2">
        <f>MIN(3, SUMPRODUCT((MOD(Streak!C49:Z49,5)=0)*(MOD(Streak!C49:Z49,10)&lt;&gt;0)*(Streak!C49:Z49&gt;0))) * 5</f>
      </c>
      <c r="AD49" s="2">
        <f>MIN(2, SUMPRODUCT((MOD(Streak!C49:Z49,10)=0)*(Streak!C49:Z49&gt;0))) * 20</f>
      </c>
      <c r="AE49" s="3">
        <f>SUM(AC49:AD49)</f>
      </c>
    </row>
    <row r="50">
      <c r="A50" s="4">
        <v>46</v>
      </c>
      <c r="B50" s="5" t="str">
        <v>Cuan XRP</v>
      </c>
      <c r="C50" s="23">
        <v>0</v>
      </c>
      <c r="D50" s="23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1</v>
      </c>
      <c r="P50" s="1">
        <v>1</v>
      </c>
      <c r="Q50" s="1">
        <v>1</v>
      </c>
      <c r="R50" s="1">
        <v>1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6">
        <f>(SUM(C50:Z50))+AE50</f>
      </c>
      <c r="AB50" s="7">
        <v>0</v>
      </c>
      <c r="AC50" s="2">
        <f>MIN(3, SUMPRODUCT((MOD(Streak!C50:Z50,5)=0)*(MOD(Streak!C50:Z50,10)&lt;&gt;0)*(Streak!C50:Z50&gt;0))) * 5</f>
      </c>
      <c r="AD50" s="2">
        <f>MIN(2, SUMPRODUCT((MOD(Streak!C50:Z50,10)=0)*(Streak!C50:Z50&gt;0))) * 20</f>
      </c>
      <c r="AE50" s="3">
        <f>SUM(AC50:AD50)</f>
      </c>
    </row>
    <row r="51">
      <c r="A51" s="4">
        <v>47</v>
      </c>
      <c r="B51" s="5" t="str">
        <v>MUHAMMAD NASRULLAH</v>
      </c>
      <c r="C51" s="23">
        <v>0</v>
      </c>
      <c r="D51" s="23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6">
        <f>(SUM(C51:Z51))+AE51</f>
      </c>
      <c r="AB51" s="7">
        <v>0</v>
      </c>
      <c r="AC51" s="2">
        <f>MIN(3, SUMPRODUCT((MOD(Streak!C51:Z51,5)=0)*(MOD(Streak!C51:Z51,10)&lt;&gt;0)*(Streak!C51:Z51&gt;0))) * 5</f>
      </c>
      <c r="AD51" s="2">
        <f>MIN(2, SUMPRODUCT((MOD(Streak!C51:Z51,10)=0)*(Streak!C51:Z51&gt;0))) * 20</f>
      </c>
      <c r="AE51" s="3">
        <f>SUM(AC51:AD51)</f>
      </c>
    </row>
    <row customHeight="true" ht="19" r="52">
      <c r="A52" s="4">
        <v>48</v>
      </c>
      <c r="B52" s="5" t="str">
        <v>Tjoei Lan</v>
      </c>
      <c r="C52" s="23">
        <v>0</v>
      </c>
      <c r="D52" s="23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6">
        <f>(SUM(C52:Z52))+AE52</f>
      </c>
      <c r="AB52" s="7">
        <v>0</v>
      </c>
      <c r="AC52" s="2">
        <f>MIN(3, SUMPRODUCT((MOD(Streak!C52:Z52,5)=0)*(MOD(Streak!C52:Z52,10)&lt;&gt;0)*(Streak!C52:Z52&gt;0))) * 5</f>
      </c>
      <c r="AD52" s="2">
        <f>MIN(2, SUMPRODUCT((MOD(Streak!C52:Z52,10)=0)*(Streak!C52:Z52&gt;0))) * 20</f>
      </c>
      <c r="AE52" s="3">
        <f>SUM(AC52:AD52)</f>
      </c>
    </row>
    <row customHeight="true" ht="19" r="53">
      <c r="A53" s="4">
        <v>49</v>
      </c>
      <c r="B53" s="5" t="str">
        <v>Syamsultan</v>
      </c>
      <c r="C53" s="23">
        <v>0</v>
      </c>
      <c r="D53" s="23">
        <v>1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1</v>
      </c>
      <c r="N53" s="1">
        <v>1</v>
      </c>
      <c r="O53" s="1">
        <v>1</v>
      </c>
      <c r="P53" s="1">
        <v>1</v>
      </c>
      <c r="Q53" s="1">
        <v>1</v>
      </c>
      <c r="R53" s="1">
        <v>1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6">
        <f>(SUM(C53:Z53))+AE53</f>
      </c>
      <c r="AB53" s="7">
        <v>0</v>
      </c>
      <c r="AC53" s="2">
        <f>MIN(3, SUMPRODUCT((MOD(Streak!C53:Z53,5)=0)*(MOD(Streak!C53:Z53,10)&lt;&gt;0)*(Streak!C53:Z53&gt;0))) * 5</f>
      </c>
      <c r="AD53" s="2">
        <f>MIN(2, SUMPRODUCT((MOD(Streak!C53:Z53,10)=0)*(Streak!C53:Z53&gt;0))) * 20</f>
      </c>
      <c r="AE53" s="3">
        <f>SUM(AC53:AD53)</f>
      </c>
    </row>
    <row customHeight="true" ht="19" r="54">
      <c r="A54" s="4">
        <v>50</v>
      </c>
      <c r="B54" s="5" t="str">
        <v>INDRAWAN</v>
      </c>
      <c r="C54" s="23">
        <v>0</v>
      </c>
      <c r="D54" s="23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</v>
      </c>
      <c r="P54" s="1">
        <v>0</v>
      </c>
      <c r="Q54" s="1">
        <v>1</v>
      </c>
      <c r="R54" s="1">
        <v>1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6">
        <f>(SUM(C54:Z54))+AE54</f>
      </c>
      <c r="AB54" s="7">
        <v>0</v>
      </c>
      <c r="AC54" s="2">
        <f>MIN(3, SUMPRODUCT((MOD(Streak!C54:Z54,5)=0)*(MOD(Streak!C54:Z54,10)&lt;&gt;0)*(Streak!C54:Z54&gt;0))) * 5</f>
      </c>
      <c r="AD54" s="2">
        <f>MIN(2, SUMPRODUCT((MOD(Streak!C54:Z54,10)=0)*(Streak!C54:Z54&gt;0))) * 20</f>
      </c>
      <c r="AE54" s="3">
        <f>SUM(AC54:AD54)</f>
      </c>
    </row>
    <row customHeight="true" ht="19" r="55">
      <c r="A55" s="4">
        <v>51</v>
      </c>
      <c r="B55" s="5" t="str">
        <v>TIYANG SAE</v>
      </c>
      <c r="C55" s="23">
        <v>0</v>
      </c>
      <c r="D55" s="23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6">
        <f>(SUM(C55:Z55))+AE55</f>
      </c>
      <c r="AB55" s="7">
        <v>0</v>
      </c>
      <c r="AC55" s="2">
        <f>MIN(3, SUMPRODUCT((MOD(Streak!C55:Z55,5)=0)*(MOD(Streak!C55:Z55,10)&lt;&gt;0)*(Streak!C55:Z55&gt;0))) * 5</f>
      </c>
      <c r="AD55" s="2">
        <f>MIN(2, SUMPRODUCT((MOD(Streak!C55:Z55,10)=0)*(Streak!C55:Z55&gt;0))) * 20</f>
      </c>
      <c r="AE55" s="3">
        <f>SUM(AC55:AD55)</f>
      </c>
    </row>
    <row customHeight="true" ht="19" r="56">
      <c r="A56" s="4">
        <v>52</v>
      </c>
      <c r="B56" s="5" t="str">
        <v>HadriKSD</v>
      </c>
      <c r="C56" s="23">
        <v>0</v>
      </c>
      <c r="D56" s="23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</v>
      </c>
      <c r="P56" s="1">
        <v>1</v>
      </c>
      <c r="Q56" s="1">
        <v>1</v>
      </c>
      <c r="R56" s="1">
        <v>1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6">
        <f>(SUM(C56:Z56))+AE56</f>
      </c>
      <c r="AB56" s="7">
        <v>0</v>
      </c>
      <c r="AC56" s="2">
        <f>MIN(3, SUMPRODUCT((MOD(Streak!C56:Z56,5)=0)*(MOD(Streak!C56:Z56,10)&lt;&gt;0)*(Streak!C56:Z56&gt;0))) * 5</f>
      </c>
      <c r="AD56" s="2">
        <f>MIN(2, SUMPRODUCT((MOD(Streak!C56:Z56,10)=0)*(Streak!C56:Z56&gt;0))) * 20</f>
      </c>
      <c r="AE56" s="3">
        <f>SUM(AC56:AD56)</f>
      </c>
    </row>
    <row customHeight="true" ht="19" r="57">
      <c r="A57" s="4">
        <v>53</v>
      </c>
      <c r="B57" s="5" t="str">
        <v>buy tongka</v>
      </c>
      <c r="C57" s="23">
        <v>0</v>
      </c>
      <c r="D57" s="23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6">
        <f>(SUM(C57:Z57))+AE57</f>
      </c>
      <c r="AB57" s="7">
        <v>0</v>
      </c>
      <c r="AC57" s="2">
        <f>MIN(3, SUMPRODUCT((MOD(Streak!C57:Z57,5)=0)*(MOD(Streak!C57:Z57,10)&lt;&gt;0)*(Streak!C57:Z57&gt;0))) * 5</f>
      </c>
      <c r="AD57" s="2">
        <f>MIN(2, SUMPRODUCT((MOD(Streak!C57:Z57,10)=0)*(Streak!C57:Z57&gt;0))) * 20</f>
      </c>
      <c r="AE57" s="3">
        <f>SUM(AC57:AD57)</f>
      </c>
    </row>
    <row customHeight="true" ht="19" r="58">
      <c r="A58" s="4">
        <v>54</v>
      </c>
      <c r="B58" s="5" t="str">
        <v>Gober</v>
      </c>
      <c r="C58" s="23">
        <v>0</v>
      </c>
      <c r="D58" s="23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6">
        <f>(SUM(C58:Z58))+AE58</f>
      </c>
      <c r="AB58" s="7">
        <v>0</v>
      </c>
      <c r="AC58" s="2">
        <f>MIN(3, SUMPRODUCT((MOD(Streak!C58:Z58,5)=0)*(MOD(Streak!C58:Z58,10)&lt;&gt;0)*(Streak!C58:Z58&gt;0))) * 5</f>
      </c>
      <c r="AD58" s="2">
        <f>MIN(2, SUMPRODUCT((MOD(Streak!C58:Z58,10)=0)*(Streak!C58:Z58&gt;0))) * 20</f>
      </c>
      <c r="AE58" s="3">
        <f>SUM(AC58:AD58)</f>
      </c>
    </row>
    <row customHeight="true" ht="19" r="59">
      <c r="A59" s="4">
        <v>55</v>
      </c>
      <c r="B59" s="5" t="str">
        <v>caniago</v>
      </c>
      <c r="C59" s="23">
        <v>0</v>
      </c>
      <c r="D59" s="23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6">
        <f>(SUM(C59:Z59))+AE59</f>
      </c>
      <c r="AB59" s="7">
        <v>0</v>
      </c>
      <c r="AC59" s="2">
        <f>MIN(3, SUMPRODUCT((MOD(Streak!C59:Z59,5)=0)*(MOD(Streak!C59:Z59,10)&lt;&gt;0)*(Streak!C59:Z59&gt;0))) * 5</f>
      </c>
      <c r="AD59" s="2">
        <f>MIN(2, SUMPRODUCT((MOD(Streak!C59:Z59,10)=0)*(Streak!C59:Z59&gt;0))) * 20</f>
      </c>
      <c r="AE59" s="3">
        <f>SUM(AC59:AD59)</f>
      </c>
    </row>
    <row customHeight="true" ht="19" r="60">
      <c r="A60" s="4">
        <v>56</v>
      </c>
      <c r="B60" s="5" t="str">
        <v>Ana Mega</v>
      </c>
      <c r="C60" s="23">
        <v>0</v>
      </c>
      <c r="D60" s="23">
        <v>0</v>
      </c>
      <c r="E60" s="1">
        <v>0</v>
      </c>
      <c r="F60" s="1">
        <v>1</v>
      </c>
      <c r="G60" s="1">
        <v>0</v>
      </c>
      <c r="H60" s="1">
        <v>0</v>
      </c>
      <c r="I60" s="1">
        <v>1</v>
      </c>
      <c r="J60" s="1">
        <v>1</v>
      </c>
      <c r="K60" s="1">
        <v>1</v>
      </c>
      <c r="L60" s="1">
        <v>0</v>
      </c>
      <c r="M60" s="1">
        <v>0</v>
      </c>
      <c r="N60" s="1">
        <v>0</v>
      </c>
      <c r="O60" s="1">
        <v>1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6">
        <f>(SUM(C60:Z60))+AE60</f>
      </c>
      <c r="AB60" s="7">
        <v>0</v>
      </c>
      <c r="AC60" s="2">
        <f>MIN(3, SUMPRODUCT((MOD(Streak!C60:Z60,5)=0)*(MOD(Streak!C60:Z60,10)&lt;&gt;0)*(Streak!C60:Z60&gt;0))) * 5</f>
      </c>
      <c r="AD60" s="2">
        <f>MIN(2, SUMPRODUCT((MOD(Streak!C60:Z60,10)=0)*(Streak!C60:Z60&gt;0))) * 20</f>
      </c>
      <c r="AE60" s="3">
        <f>SUM(AC60:AD60)</f>
      </c>
    </row>
    <row customHeight="true" ht="19" r="61">
      <c r="A61" s="4">
        <v>57</v>
      </c>
      <c r="B61" s="5" t="str">
        <v>anasta</v>
      </c>
      <c r="C61" s="23">
        <v>0</v>
      </c>
      <c r="D61" s="23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0</v>
      </c>
      <c r="L61" s="1">
        <v>0</v>
      </c>
      <c r="M61" s="1">
        <v>0</v>
      </c>
      <c r="N61" s="1">
        <v>1</v>
      </c>
      <c r="O61" s="1">
        <v>1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6">
        <f>(SUM(C61:Z61))+AE61</f>
      </c>
      <c r="AB61" s="7">
        <v>0</v>
      </c>
      <c r="AC61" s="2">
        <f>MIN(3, SUMPRODUCT((MOD(Streak!C61:Z61,5)=0)*(MOD(Streak!C61:Z61,10)&lt;&gt;0)*(Streak!C61:Z61&gt;0))) * 5</f>
      </c>
      <c r="AD61" s="2">
        <f>MIN(2, SUMPRODUCT((MOD(Streak!C61:Z61,10)=0)*(Streak!C61:Z61&gt;0))) * 20</f>
      </c>
      <c r="AE61" s="3">
        <f>SUM(AC61:AD61)</f>
      </c>
    </row>
    <row customHeight="true" ht="19" r="62">
      <c r="A62" s="4">
        <v>58</v>
      </c>
      <c r="B62" s="5" t="str">
        <v>Kurnia</v>
      </c>
      <c r="C62" s="23">
        <v>0</v>
      </c>
      <c r="D62" s="23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6">
        <f>(SUM(C62:Z62))+AE62</f>
      </c>
      <c r="AB62" s="7">
        <v>0</v>
      </c>
      <c r="AC62" s="2">
        <f>MIN(3, SUMPRODUCT((MOD(Streak!C63:Z63,5)=0)*(MOD(Streak!C63:Z63,10)&lt;&gt;0)*(Streak!C63:Z63&gt;0))) * 5</f>
      </c>
      <c r="AD62" s="2">
        <f>MIN(2, SUMPRODUCT((MOD(Streak!C63:Z63,10)=0)*(Streak!C63:Z63&gt;0))) * 20</f>
      </c>
      <c r="AE62" s="3">
        <f>SUM(AC62:AD62)</f>
      </c>
    </row>
    <row customHeight="true" ht="19" r="63">
      <c r="A63" s="4">
        <v>59</v>
      </c>
      <c r="B63" s="5" t="str">
        <v>Yura Audi</v>
      </c>
      <c r="C63" s="23">
        <v>0</v>
      </c>
      <c r="D63" s="23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6">
        <f>(SUM(C63:Z63))+AE63</f>
      </c>
      <c r="AB63" s="7">
        <v>0</v>
      </c>
      <c r="AC63" s="2">
        <f>MIN(3, SUMPRODUCT((MOD(Streak!C64:Z64,5)=0)*(MOD(Streak!C64:Z64,10)&lt;&gt;0)*(Streak!C64:Z64&gt;0))) * 5</f>
      </c>
      <c r="AD63" s="2">
        <f>MIN(2, SUMPRODUCT((MOD(Streak!C64:Z64,10)=0)*(Streak!C64:Z64&gt;0))) * 20</f>
      </c>
      <c r="AE63" s="3">
        <f>SUM(AC63:AD63)</f>
      </c>
    </row>
    <row customHeight="true" ht="19" r="64">
      <c r="A64" s="4">
        <v>60</v>
      </c>
      <c r="B64" s="5" t="str">
        <v>Liang</v>
      </c>
      <c r="C64" s="23">
        <v>0</v>
      </c>
      <c r="D64" s="23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6">
        <f>(SUM(C64:Z64))+AE64</f>
      </c>
      <c r="AB64" s="7">
        <v>0</v>
      </c>
      <c r="AC64" s="2">
        <f>MIN(3, SUMPRODUCT((MOD(Streak!C65:Z65,5)=0)*(MOD(Streak!C65:Z65,10)&lt;&gt;0)*(Streak!C65:Z65&gt;0))) * 5</f>
      </c>
      <c r="AD64" s="2">
        <f>MIN(2, SUMPRODUCT((MOD(Streak!C65:Z65,10)=0)*(Streak!C65:Z65&gt;0))) * 20</f>
      </c>
      <c r="AE64" s="3">
        <f>SUM(AC64:AD64)</f>
      </c>
    </row>
    <row customHeight="true" ht="19" r="65">
      <c r="A65" s="4">
        <v>61</v>
      </c>
      <c r="B65" s="5" t="str">
        <v>Abu21</v>
      </c>
      <c r="C65" s="1">
        <v>0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1</v>
      </c>
      <c r="L65" s="1">
        <v>1</v>
      </c>
      <c r="M65" s="1">
        <v>0</v>
      </c>
      <c r="N65" s="1">
        <v>1</v>
      </c>
      <c r="O65" s="1">
        <v>1</v>
      </c>
      <c r="P65" s="1">
        <v>0</v>
      </c>
      <c r="Q65" s="1">
        <v>1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6">
        <f>(SUM(C65:Z65))+AE65</f>
      </c>
      <c r="AB65" s="7">
        <v>0</v>
      </c>
      <c r="AC65" s="2">
        <f>MIN(3, SUMPRODUCT((MOD(Streak!C66:Z66,5)=0)*(MOD(Streak!C66:Z66,10)&lt;&gt;0)*(Streak!C66:Z66&gt;0))) * 5</f>
      </c>
      <c r="AD65" s="2">
        <f>MIN(2, SUMPRODUCT((MOD(Streak!C66:Z66,10)=0)*(Streak!C66:Z66&gt;0))) * 20</f>
      </c>
      <c r="AE65" s="3">
        <f>SUM(AC65:AD65)</f>
      </c>
    </row>
    <row customHeight="true" ht="19" r="66">
      <c r="A66" s="4">
        <v>62</v>
      </c>
      <c r="B66" s="5" t="str">
        <v>Rusjuniarto</v>
      </c>
      <c r="C66" s="1">
        <v>0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6">
        <f>(SUM(C66:Z66))+AE66</f>
      </c>
      <c r="AB66" s="7">
        <v>0</v>
      </c>
      <c r="AC66" s="2">
        <f>MIN(3, SUMPRODUCT((MOD(Streak!C67:Z67,5)=0)*(MOD(Streak!C67:Z67,10)&lt;&gt;0)*(Streak!C67:Z67&gt;0))) * 5</f>
      </c>
      <c r="AD66" s="2">
        <f>MIN(2, SUMPRODUCT((MOD(Streak!C67:Z67,10)=0)*(Streak!C67:Z67&gt;0))) * 20</f>
      </c>
      <c r="AE66" s="3">
        <f>SUM(AC66:AD66)</f>
      </c>
    </row>
    <row customHeight="true" ht="19" r="67">
      <c r="A67" s="4">
        <v>63</v>
      </c>
      <c r="B67" s="5" t="str">
        <v>dad_MudR€_$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6">
        <f>(SUM(C67:Z67))+AE67</f>
      </c>
      <c r="AB67" s="7">
        <v>0</v>
      </c>
      <c r="AC67" s="2">
        <f>MIN(3, SUMPRODUCT((MOD(Streak!C68:Z68,5)=0)*(MOD(Streak!C68:Z68,10)&lt;&gt;0)*(Streak!C68:Z68&gt;0))) * 5</f>
      </c>
      <c r="AD67" s="2">
        <f>MIN(2, SUMPRODUCT((MOD(Streak!C68:Z68,10)=0)*(Streak!C68:Z68&gt;0))) * 20</f>
      </c>
      <c r="AE67" s="3">
        <f>SUM(AC67:AD67)</f>
      </c>
    </row>
    <row customHeight="true" ht="19" r="68">
      <c r="A68" s="4">
        <v>64</v>
      </c>
      <c r="B68" s="5" t="str" xml:space="preserve">
        <v>TakeProfit </v>
      </c>
      <c r="C68" s="1">
        <v>0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1</v>
      </c>
      <c r="L68" s="1">
        <v>1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6">
        <f>(SUM(C68:Z68))+AE68</f>
      </c>
      <c r="AB68" s="7">
        <v>0</v>
      </c>
      <c r="AC68" s="2">
        <f>MIN(3, SUMPRODUCT((MOD(Streak!C69:Z69,5)=0)*(MOD(Streak!C69:Z69,10)&lt;&gt;0)*(Streak!C69:Z69&gt;0))) * 5</f>
      </c>
      <c r="AD68" s="2">
        <f>MIN(2, SUMPRODUCT((MOD(Streak!C69:Z69,10)=0)*(Streak!C69:Z69&gt;0))) * 20</f>
      </c>
      <c r="AE68" s="3">
        <f>SUM(AC68:AD68)</f>
      </c>
    </row>
    <row customHeight="true" ht="19" r="69">
      <c r="A69" s="4">
        <v>65</v>
      </c>
      <c r="B69" s="5" t="str">
        <v>Rakha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1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6">
        <f>(SUM(C69:Z69))+AE69</f>
      </c>
      <c r="AB69" s="7">
        <v>0</v>
      </c>
      <c r="AC69" s="2">
        <f>MIN(3, SUMPRODUCT((MOD(Streak!C70:Z70,5)=0)*(MOD(Streak!C70:Z70,10)&lt;&gt;0)*(Streak!C70:Z70&gt;0))) * 5</f>
      </c>
      <c r="AD69" s="2">
        <f>MIN(2, SUMPRODUCT((MOD(Streak!C70:Z70,10)=0)*(Streak!C70:Z70&gt;0))) * 20</f>
      </c>
      <c r="AE69" s="3">
        <f>SUM(AC69:AD69)</f>
      </c>
    </row>
    <row customHeight="true" ht="19" r="70">
      <c r="A70" s="4">
        <v>66</v>
      </c>
      <c r="B70" s="5" t="str">
        <v>ahmadi_mad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6">
        <f>(SUM(C70:Z70))+AE70</f>
      </c>
      <c r="AB70" s="7">
        <v>0</v>
      </c>
      <c r="AC70" s="2">
        <f>MIN(3, SUMPRODUCT((MOD(Streak!C71:Z71,5)=0)*(MOD(Streak!C71:Z71,10)&lt;&gt;0)*(Streak!C71:Z71&gt;0))) * 5</f>
      </c>
      <c r="AD70" s="2">
        <f>MIN(2, SUMPRODUCT((MOD(Streak!C71:Z71,10)=0)*(Streak!C71:Z71&gt;0))) * 20</f>
      </c>
      <c r="AE70" s="3">
        <f>SUM(AC70:AD70)</f>
      </c>
    </row>
    <row customHeight="true" ht="19" r="71">
      <c r="A71" s="4">
        <v>67</v>
      </c>
      <c r="B71" s="5" t="str">
        <v>Syukron Kasir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0</v>
      </c>
      <c r="O71" s="1">
        <v>0</v>
      </c>
      <c r="P71" s="1">
        <v>0</v>
      </c>
      <c r="Q71" s="1">
        <v>1</v>
      </c>
      <c r="R71" s="1">
        <v>1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6">
        <f>(SUM(C71:Z71))+AE71</f>
      </c>
      <c r="AB71" s="7">
        <v>0</v>
      </c>
      <c r="AC71" s="2">
        <f>MIN(3, SUMPRODUCT((MOD(Streak!C72:Z72,5)=0)*(MOD(Streak!C72:Z72,10)&lt;&gt;0)*(Streak!C72:Z72&gt;0))) * 5</f>
      </c>
      <c r="AD71" s="2">
        <f>MIN(2, SUMPRODUCT((MOD(Streak!C72:Z72,10)=0)*(Streak!C72:Z72&gt;0))) * 20</f>
      </c>
      <c r="AE71" s="3">
        <f>SUM(AC71:AD71)</f>
      </c>
    </row>
    <row customHeight="true" ht="19" r="72">
      <c r="A72" s="4">
        <v>68</v>
      </c>
      <c r="B72" s="5" t="str">
        <v>$ Hmm $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1</v>
      </c>
      <c r="L72" s="1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6">
        <f>(SUM(C72:Z72))+AE72</f>
      </c>
      <c r="AB72" s="7">
        <v>0</v>
      </c>
      <c r="AC72" s="2">
        <f>MIN(3, SUMPRODUCT((MOD(Streak!C73:Z73,5)=0)*(MOD(Streak!C73:Z73,10)&lt;&gt;0)*(Streak!C73:Z73&gt;0))) * 5</f>
      </c>
      <c r="AD72" s="2">
        <f>MIN(2, SUMPRODUCT((MOD(Streak!C73:Z73,10)=0)*(Streak!C73:Z73&gt;0))) * 20</f>
      </c>
      <c r="AE72" s="3">
        <f>SUM(AC72:AD72)</f>
      </c>
    </row>
    <row customHeight="true" ht="19" r="73">
      <c r="A73" s="4">
        <v>69</v>
      </c>
      <c r="B73" s="5" t="str">
        <v>Well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0</v>
      </c>
      <c r="J73" s="1">
        <v>0</v>
      </c>
      <c r="K73" s="1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6">
        <f>(SUM(C73:Z73))+AE73</f>
      </c>
      <c r="AB73" s="7">
        <v>0</v>
      </c>
      <c r="AC73" s="2">
        <f>MIN(3, SUMPRODUCT((MOD(Streak!C74:Z74,5)=0)*(MOD(Streak!C74:Z74,10)&lt;&gt;0)*(Streak!C74:Z74&gt;0))) * 5</f>
      </c>
      <c r="AD73" s="2">
        <f>MIN(2, SUMPRODUCT((MOD(Streak!C74:Z74,10)=0)*(Streak!C74:Z74&gt;0))) * 20</f>
      </c>
      <c r="AE73" s="3">
        <f>SUM(AC73:AD73)</f>
      </c>
    </row>
    <row customHeight="true" ht="19" r="74">
      <c r="A74" s="4">
        <v>70</v>
      </c>
      <c r="B74" s="5" t="str">
        <v>Gino567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1</v>
      </c>
      <c r="N74" s="1">
        <v>1</v>
      </c>
      <c r="O74" s="1">
        <v>1</v>
      </c>
      <c r="P74" s="1">
        <v>1</v>
      </c>
      <c r="Q74" s="1">
        <v>1</v>
      </c>
      <c r="R74" s="1">
        <v>1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6">
        <f>(SUM(C74:Z74))+AE74</f>
      </c>
      <c r="AB74" s="7">
        <v>0</v>
      </c>
      <c r="AC74" s="2">
        <f>MIN(3, SUMPRODUCT((MOD(Streak!C75:Z75,5)=0)*(MOD(Streak!C75:Z75,10)&lt;&gt;0)*(Streak!C75:Z75&gt;0))) * 5</f>
      </c>
      <c r="AD74" s="2">
        <f>MIN(2, SUMPRODUCT((MOD(Streak!C75:Z75,10)=0)*(Streak!C75:Z75&gt;0))) * 20</f>
      </c>
      <c r="AE74" s="3">
        <f>SUM(AC74:AD74)</f>
      </c>
    </row>
    <row customHeight="true" ht="19" r="75">
      <c r="A75" s="4">
        <v>71</v>
      </c>
      <c r="B75" s="5" t="str">
        <v>Aprison Sitohang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1</v>
      </c>
      <c r="L75" s="1">
        <v>0</v>
      </c>
      <c r="M75" s="1">
        <v>1</v>
      </c>
      <c r="N75" s="1">
        <v>0</v>
      </c>
      <c r="O75" s="1">
        <v>0</v>
      </c>
      <c r="P75" s="1">
        <v>1</v>
      </c>
      <c r="Q75" s="1">
        <v>1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6">
        <f>(SUM(C75:Z75))+AE75</f>
      </c>
      <c r="AB75" s="7">
        <v>0</v>
      </c>
      <c r="AC75" s="2">
        <f>MIN(3, SUMPRODUCT((MOD(Streak!C76:Z76,5)=0)*(MOD(Streak!C76:Z76,10)&lt;&gt;0)*(Streak!C76:Z76&gt;0))) * 5</f>
      </c>
      <c r="AD75" s="2">
        <f>MIN(2, SUMPRODUCT((MOD(Streak!C76:Z76,10)=0)*(Streak!C76:Z76&gt;0))) * 20</f>
      </c>
      <c r="AE75" s="3">
        <f>SUM(AC75:AD75)</f>
      </c>
    </row>
    <row customHeight="true" ht="19" r="76">
      <c r="A76" s="4">
        <v>72</v>
      </c>
      <c r="B76" s="5" t="str">
        <v>mlt.b4ndung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1</v>
      </c>
      <c r="N76" s="1">
        <v>1</v>
      </c>
      <c r="O76" s="1">
        <v>1</v>
      </c>
      <c r="P76" s="1">
        <v>1</v>
      </c>
      <c r="Q76" s="1">
        <v>1</v>
      </c>
      <c r="R76" s="1">
        <v>1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6">
        <f>(SUM(C76:Z76))+AE76</f>
      </c>
      <c r="AB76" s="7">
        <v>0</v>
      </c>
      <c r="AC76" s="2">
        <f>MIN(3, SUMPRODUCT((MOD(Streak!C77:Z77,5)=0)*(MOD(Streak!C77:Z77,10)&lt;&gt;0)*(Streak!C77:Z77&gt;0))) * 5</f>
      </c>
      <c r="AD76" s="2">
        <f>MIN(2, SUMPRODUCT((MOD(Streak!C77:Z77,10)=0)*(Streak!C77:Z77&gt;0))) * 20</f>
      </c>
      <c r="AE76" s="3">
        <f>SUM(AC76:AD76)</f>
      </c>
    </row>
    <row customHeight="true" ht="19" r="77">
      <c r="A77" s="4">
        <v>73</v>
      </c>
      <c r="B77" s="5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0</v>
      </c>
      <c r="P77" s="1">
        <v>0</v>
      </c>
      <c r="Q77" s="1">
        <v>1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6">
        <f>(SUM(C77:Z77))+AE77</f>
      </c>
      <c r="AB77" s="7">
        <v>0</v>
      </c>
      <c r="AC77" s="2">
        <f>MIN(3, SUMPRODUCT((MOD(Streak!C78:Z78,5)=0)*(MOD(Streak!C78:Z78,10)&lt;&gt;0)*(Streak!C78:Z78&gt;0))) * 5</f>
      </c>
      <c r="AD77" s="2">
        <f>MIN(2, SUMPRODUCT((MOD(Streak!C78:Z78,10)=0)*(Streak!C78:Z78&gt;0))) * 20</f>
      </c>
      <c r="AE77" s="3">
        <f>SUM(AC77:AD77)</f>
      </c>
    </row>
    <row customHeight="true" ht="19" r="78">
      <c r="A78" s="4">
        <v>74</v>
      </c>
      <c r="B78" s="24" t="str">
        <v>Boz Muda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6">
        <f>(SUM(C78:Z78))+AE78</f>
      </c>
      <c r="AB78" s="7">
        <v>0</v>
      </c>
      <c r="AC78" s="2">
        <f>MIN(3, SUMPRODUCT((MOD(Streak!C79:Z79,5)=0)*(MOD(Streak!C79:Z79,10)&lt;&gt;0)*(Streak!C79:Z79&gt;0))) * 5</f>
      </c>
      <c r="AD78" s="2">
        <f>MIN(2, SUMPRODUCT((MOD(Streak!C79:Z79,10)=0)*(Streak!C79:Z79&gt;0))) * 20</f>
      </c>
      <c r="AE78" s="3">
        <f>SUM(AC78:AD78)</f>
      </c>
    </row>
    <row customHeight="true" ht="19" r="79">
      <c r="A79" s="4">
        <v>75</v>
      </c>
      <c r="B79" s="5" t="str">
        <v>Bosque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6">
        <f>(SUM(C79:Z79))+AE79</f>
      </c>
      <c r="AB79" s="7">
        <v>0</v>
      </c>
      <c r="AC79" s="2">
        <f>MIN(3, SUMPRODUCT((MOD(Streak!C80:Z80,5)=0)*(MOD(Streak!C80:Z80,10)&lt;&gt;0)*(Streak!C80:Z80&gt;0))) * 5</f>
      </c>
      <c r="AD79" s="2">
        <f>MIN(2, SUMPRODUCT((MOD(Streak!C80:Z80,10)=0)*(Streak!C80:Z80&gt;0))) * 20</f>
      </c>
      <c r="AE79" s="3">
        <f>SUM(AC79:AD79)</f>
      </c>
    </row>
    <row customHeight="true" ht="19" r="80">
      <c r="A80" s="4">
        <v>76</v>
      </c>
      <c r="B80" s="5" t="str">
        <v>Rifanz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6">
        <f>(SUM(C80:Z80))+AE80</f>
      </c>
      <c r="AB80" s="7">
        <v>0</v>
      </c>
      <c r="AC80" s="2">
        <f>MIN(3, SUMPRODUCT((MOD(Streak!C81:Z81,5)=0)*(MOD(Streak!C81:Z81,10)&lt;&gt;0)*(Streak!C81:Z81&gt;0))) * 5</f>
      </c>
      <c r="AD80" s="2">
        <f>MIN(2, SUMPRODUCT((MOD(Streak!C81:Z81,10)=0)*(Streak!C81:Z81&gt;0))) * 20</f>
      </c>
      <c r="AE80" s="3">
        <f>SUM(AC80:AD80)</f>
      </c>
    </row>
    <row customHeight="true" ht="19" r="81">
      <c r="A81" s="4">
        <v>77</v>
      </c>
      <c r="B81" s="5" t="str">
        <v>FebryanArif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1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6">
        <f>(SUM(C81:Z81))+AE81</f>
      </c>
      <c r="AB81" s="7">
        <v>0</v>
      </c>
      <c r="AC81" s="2">
        <f>MIN(3, SUMPRODUCT((MOD(Streak!C82:Z82,5)=0)*(MOD(Streak!C82:Z82,10)&lt;&gt;0)*(Streak!C82:Z82&gt;0))) * 5</f>
      </c>
      <c r="AD81" s="2">
        <f>MIN(2, SUMPRODUCT((MOD(Streak!C82:Z82,10)=0)*(Streak!C82:Z82&gt;0))) * 20</f>
      </c>
      <c r="AE81" s="3">
        <f>SUM(AC81:AD81)</f>
      </c>
    </row>
    <row customHeight="true" ht="19" r="82">
      <c r="A82" s="4">
        <v>78</v>
      </c>
      <c r="B82" s="5" t="str">
        <v>Mr.M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0</v>
      </c>
      <c r="P82" s="1">
        <v>0</v>
      </c>
      <c r="Q82" s="1">
        <v>1</v>
      </c>
      <c r="R82" s="1">
        <v>1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6">
        <f>(SUM(C82:Z82))+AE82</f>
      </c>
      <c r="AB82" s="7">
        <v>0</v>
      </c>
      <c r="AC82" s="2">
        <f>MIN(3, SUMPRODUCT((MOD(Streak!C83:Z83,5)=0)*(MOD(Streak!C83:Z83,10)&lt;&gt;0)*(Streak!C83:Z83&gt;0))) * 5</f>
      </c>
      <c r="AD82" s="2">
        <f>MIN(2, SUMPRODUCT((MOD(Streak!C83:Z83,10)=0)*(Streak!C83:Z83&gt;0))) * 20</f>
      </c>
      <c r="AE82" s="3">
        <f>SUM(AC82:AD82)</f>
      </c>
    </row>
    <row customHeight="true" ht="19" r="83">
      <c r="A83" s="4">
        <v>79</v>
      </c>
      <c r="B83" s="5" t="str" xml:space="preserve">
        <v>Hadi Nansa 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6">
        <f>(SUM(C83:Z83))+AE83</f>
      </c>
      <c r="AB83" s="7">
        <v>0</v>
      </c>
      <c r="AC83" s="2">
        <f>MIN(3, SUMPRODUCT((MOD(Streak!C84:Z84,5)=0)*(MOD(Streak!C84:Z84,10)&lt;&gt;0)*(Streak!C84:Z84&gt;0))) * 5</f>
      </c>
      <c r="AD83" s="2">
        <f>MIN(2, SUMPRODUCT((MOD(Streak!C84:Z84,10)=0)*(Streak!C84:Z84&gt;0))) * 20</f>
      </c>
      <c r="AE83" s="3">
        <f>SUM(AC83:AD83)</f>
      </c>
    </row>
    <row customHeight="true" ht="19" r="84">
      <c r="A84" s="4">
        <v>80</v>
      </c>
      <c r="B84" s="5" t="str">
        <v>Neko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1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6">
        <f>(SUM(C84:Z84))+AE84</f>
      </c>
      <c r="AB84" s="7">
        <v>0</v>
      </c>
      <c r="AC84" s="2">
        <f>MIN(3, SUMPRODUCT((MOD(Streak!C85:Z85,5)=0)*(MOD(Streak!C85:Z85,10)&lt;&gt;0)*(Streak!C85:Z85&gt;0))) * 5</f>
      </c>
      <c r="AD84" s="2">
        <f>MIN(2, SUMPRODUCT((MOD(Streak!C85:Z85,10)=0)*(Streak!C85:Z85&gt;0))) * 20</f>
      </c>
      <c r="AE84" s="3">
        <f>SUM(AC84:AD84)</f>
      </c>
    </row>
    <row customHeight="true" ht="19" r="85">
      <c r="A85" s="4">
        <v>81</v>
      </c>
      <c r="B85" s="5" t="str">
        <v>Yuyun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6">
        <f>(SUM(C85:Z85))+AE85</f>
      </c>
      <c r="AB85" s="7">
        <v>0</v>
      </c>
      <c r="AC85" s="2">
        <f>MIN(3, SUMPRODUCT((MOD(Streak!C86:Z86,5)=0)*(MOD(Streak!C86:Z86,10)&lt;&gt;0)*(Streak!C86:Z86&gt;0))) * 5</f>
      </c>
      <c r="AD85" s="2">
        <f>MIN(2, SUMPRODUCT((MOD(Streak!C86:Z86,10)=0)*(Streak!C86:Z86&gt;0))) * 20</f>
      </c>
      <c r="AE85" s="3">
        <f>SUM(AC85:AD85)</f>
      </c>
    </row>
    <row customHeight="true" ht="19" r="86">
      <c r="A86" s="4">
        <v>82</v>
      </c>
      <c r="B86" s="5" t="str" xml:space="preserve">
        <v>jwlry 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6">
        <f>(SUM(C86:Z86))+AE86</f>
      </c>
      <c r="AB86" s="7">
        <v>0</v>
      </c>
      <c r="AC86" s="2">
        <f>MIN(3, SUMPRODUCT((MOD(Streak!C87:Z87,5)=0)*(MOD(Streak!C87:Z87,10)&lt;&gt;0)*(Streak!C87:Z87&gt;0))) * 5</f>
      </c>
      <c r="AD86" s="2">
        <f>MIN(2, SUMPRODUCT((MOD(Streak!C87:Z87,10)=0)*(Streak!C87:Z87&gt;0))) * 20</f>
      </c>
      <c r="AE86" s="3">
        <f>SUM(AC86:AD86)</f>
      </c>
    </row>
    <row customHeight="true" ht="19" r="87">
      <c r="A87" s="4">
        <v>83</v>
      </c>
      <c r="B87" s="5" t="str">
        <v>BAS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1</v>
      </c>
      <c r="P87" s="1">
        <v>1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6">
        <f>(SUM(C87:Z87))+AE87</f>
      </c>
      <c r="AB87" s="7">
        <v>0</v>
      </c>
      <c r="AC87" s="2">
        <f>MIN(3, SUMPRODUCT((MOD(Streak!C88:Z88,5)=0)*(MOD(Streak!C88:Z88,10)&lt;&gt;0)*(Streak!C88:Z88&gt;0))) * 5</f>
      </c>
      <c r="AD87" s="2">
        <f>MIN(2, SUMPRODUCT((MOD(Streak!C88:Z88,10)=0)*(Streak!C88:Z88&gt;0))) * 20</f>
      </c>
      <c r="AE87" s="3">
        <f>SUM(AC87:AD87)</f>
      </c>
    </row>
    <row customHeight="true" ht="19" r="88">
      <c r="A88" s="4">
        <v>84</v>
      </c>
      <c r="B88" s="5" t="str" xml:space="preserve">
        <v>Bedjo 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6">
        <f>(SUM(C88:Z88))+AE88</f>
      </c>
      <c r="AB88" s="7">
        <v>0</v>
      </c>
      <c r="AC88" s="2">
        <f>MIN(3, SUMPRODUCT((MOD(Streak!C89:Z89,5)=0)*(MOD(Streak!C89:Z89,10)&lt;&gt;0)*(Streak!C89:Z89&gt;0))) * 5</f>
      </c>
      <c r="AD88" s="2">
        <f>MIN(2, SUMPRODUCT((MOD(Streak!C89:Z89,10)=0)*(Streak!C89:Z89&gt;0))) * 20</f>
      </c>
      <c r="AE88" s="3">
        <f>SUM(AC88:AD88)</f>
      </c>
    </row>
    <row customHeight="true" ht="19" r="89">
      <c r="A89" s="4">
        <v>85</v>
      </c>
      <c r="B89" s="5" t="str">
        <v>DNS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6">
        <f>(SUM(C89:Z89))+AE89</f>
      </c>
      <c r="AB89" s="7">
        <v>0</v>
      </c>
      <c r="AC89" s="2">
        <f>MIN(3, SUMPRODUCT((MOD(Streak!C90:Z90,5)=0)*(MOD(Streak!C90:Z90,10)&lt;&gt;0)*(Streak!C90:Z90&gt;0))) * 5</f>
      </c>
      <c r="AD89" s="2">
        <f>MIN(2, SUMPRODUCT((MOD(Streak!C90:Z90,10)=0)*(Streak!C90:Z90&gt;0))) * 20</f>
      </c>
      <c r="AE89" s="3">
        <f>SUM(AC89:AD89)</f>
      </c>
    </row>
    <row customHeight="true" ht="19" r="90">
      <c r="A90" s="4">
        <v>86</v>
      </c>
      <c r="B90" s="5" t="str" xml:space="preserve">
        <v>emhadehanzs011196 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6">
        <f>(SUM(C90:Z90))+AE90</f>
      </c>
      <c r="AB90" s="7">
        <v>0</v>
      </c>
      <c r="AC90" s="2">
        <f>MIN(3, SUMPRODUCT((MOD(Streak!C91:Z91,5)=0)*(MOD(Streak!C91:Z91,10)&lt;&gt;0)*(Streak!C91:Z91&gt;0))) * 5</f>
      </c>
      <c r="AD90" s="2">
        <f>MIN(2, SUMPRODUCT((MOD(Streak!C91:Z91,10)=0)*(Streak!C91:Z91&gt;0))) * 20</f>
      </c>
      <c r="AE90" s="3">
        <f>SUM(AC90:AD90)</f>
      </c>
    </row>
    <row customHeight="true" ht="19" r="91">
      <c r="A91" s="4">
        <v>87</v>
      </c>
      <c r="B91" s="5" t="str">
        <v>GUSTI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6">
        <f>(SUM(C91:Z91))+AE91</f>
      </c>
      <c r="AB91" s="7">
        <v>0</v>
      </c>
      <c r="AC91" s="2">
        <f>MIN(3, SUMPRODUCT((MOD(Streak!C92:Z92,5)=0)*(MOD(Streak!C92:Z92,10)&lt;&gt;0)*(Streak!C92:Z92&gt;0))) * 5</f>
      </c>
      <c r="AD91" s="2">
        <f>MIN(2, SUMPRODUCT((MOD(Streak!C92:Z92,10)=0)*(Streak!C92:Z92&gt;0))) * 20</f>
      </c>
      <c r="AE91" s="3">
        <f>SUM(AC91:AD91)</f>
      </c>
    </row>
    <row customHeight="true" ht="19" r="92">
      <c r="A92" s="4">
        <v>88</v>
      </c>
      <c r="B92" s="5" t="str">
        <v>Mas Mudji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6">
        <f>(SUM(C92:Z92))+AE92</f>
      </c>
      <c r="AB92" s="7">
        <v>0</v>
      </c>
      <c r="AC92" s="2">
        <f>MIN(3, SUMPRODUCT((MOD(Streak!C93:Z93,5)=0)*(MOD(Streak!C93:Z93,10)&lt;&gt;0)*(Streak!C93:Z93&gt;0))) * 5</f>
      </c>
      <c r="AD92" s="2">
        <f>MIN(2, SUMPRODUCT((MOD(Streak!C93:Z93,10)=0)*(Streak!C93:Z93&gt;0))) * 20</f>
      </c>
      <c r="AE92" s="3">
        <f>SUM(AC92:AD92)</f>
      </c>
    </row>
    <row customHeight="true" ht="19" r="93">
      <c r="A93" s="4">
        <v>89</v>
      </c>
      <c r="B93" s="5" t="str">
        <v>Jaya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6">
        <f>(SUM(C93:Z93))+AE93</f>
      </c>
      <c r="AB93" s="7">
        <v>0</v>
      </c>
      <c r="AC93" s="2">
        <f>MIN(3, SUMPRODUCT((MOD(Streak!C94:Z94,5)=0)*(MOD(Streak!C94:Z94,10)&lt;&gt;0)*(Streak!C94:Z94&gt;0))) * 5</f>
      </c>
      <c r="AD93" s="2">
        <f>MIN(2, SUMPRODUCT((MOD(Streak!C94:Z94,10)=0)*(Streak!C94:Z94&gt;0))) * 20</f>
      </c>
      <c r="AE93" s="3">
        <f>SUM(AC93:AD93)</f>
      </c>
    </row>
    <row customHeight="true" ht="19" r="94">
      <c r="A94" s="4">
        <v>90</v>
      </c>
      <c r="B94" s="5" t="str" xml:space="preserve">
        <v>Vergil GOLD 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1</v>
      </c>
      <c r="M94" s="1">
        <v>1</v>
      </c>
      <c r="N94" s="1">
        <v>1</v>
      </c>
      <c r="O94" s="1">
        <v>0</v>
      </c>
      <c r="P94" s="1">
        <v>0</v>
      </c>
      <c r="Q94" s="1">
        <v>1</v>
      </c>
      <c r="R94" s="1">
        <v>1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6">
        <f>(SUM(C94:Z94))+AE94</f>
      </c>
      <c r="AB94" s="7">
        <v>0</v>
      </c>
      <c r="AC94" s="2">
        <f>MIN(3, SUMPRODUCT((MOD(Streak!C95:Z95,5)=0)*(MOD(Streak!C95:Z95,10)&lt;&gt;0)*(Streak!C95:Z95&gt;0))) * 5</f>
      </c>
      <c r="AD94" s="2">
        <f>MIN(2, SUMPRODUCT((MOD(Streak!C95:Z95,10)=0)*(Streak!C95:Z95&gt;0))) * 20</f>
      </c>
      <c r="AE94" s="3">
        <f>SUM(AC94:AD94)</f>
      </c>
    </row>
    <row customHeight="true" ht="19" r="95">
      <c r="A95" s="4">
        <v>91</v>
      </c>
      <c r="B95" s="5" t="str" xml:space="preserve">
        <v>BoyXau 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1</v>
      </c>
      <c r="M95" s="1">
        <v>1</v>
      </c>
      <c r="N95" s="1">
        <v>0</v>
      </c>
      <c r="O95" s="1">
        <v>1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6">
        <f>(SUM(C95:Z95))+AE95</f>
      </c>
      <c r="AB95" s="7">
        <v>0</v>
      </c>
      <c r="AC95" s="2">
        <f>MIN(3, SUMPRODUCT((MOD(Streak!C96:Z96,5)=0)*(MOD(Streak!C96:Z96,10)&lt;&gt;0)*(Streak!C96:Z96&gt;0))) * 5</f>
      </c>
      <c r="AD95" s="2">
        <f>MIN(2, SUMPRODUCT((MOD(Streak!C96:Z96,10)=0)*(Streak!C96:Z96&gt;0))) * 20</f>
      </c>
      <c r="AE95" s="3">
        <f>SUM(AC95:AD95)</f>
      </c>
    </row>
    <row customHeight="true" ht="19" r="96">
      <c r="A96" s="4">
        <v>92</v>
      </c>
      <c r="B96" s="5" t="str" xml:space="preserve">
        <v>Dirty 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1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6">
        <f>(SUM(C96:Z96))+AE96</f>
      </c>
      <c r="AB96" s="7">
        <v>0</v>
      </c>
      <c r="AC96" s="2">
        <f>MIN(3, SUMPRODUCT((MOD(Streak!C97:Z97,5)=0)*(MOD(Streak!C97:Z97,10)&lt;&gt;0)*(Streak!C97:Z97&gt;0))) * 5</f>
      </c>
      <c r="AD96" s="2">
        <f>MIN(2, SUMPRODUCT((MOD(Streak!C97:Z97,10)=0)*(Streak!C97:Z97&gt;0))) * 20</f>
      </c>
      <c r="AE96" s="3">
        <f>SUM(AC96:AD96)</f>
      </c>
    </row>
    <row customHeight="true" ht="19" r="97">
      <c r="A97" s="4">
        <v>93</v>
      </c>
      <c r="B97" s="5" t="str">
        <v>sedap malam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6">
        <f>(SUM(C97:Z97))+AE97</f>
      </c>
      <c r="AB97" s="7">
        <v>0</v>
      </c>
      <c r="AC97" s="2">
        <f>MIN(3, SUMPRODUCT((MOD(Streak!C98:Z98,5)=0)*(MOD(Streak!C98:Z98,10)&lt;&gt;0)*(Streak!C98:Z98&gt;0))) * 5</f>
      </c>
      <c r="AD97" s="2">
        <f>MIN(2, SUMPRODUCT((MOD(Streak!C98:Z98,10)=0)*(Streak!C98:Z98&gt;0))) * 20</f>
      </c>
      <c r="AE97" s="3">
        <f>SUM(AC97:AD97)</f>
      </c>
    </row>
    <row customHeight="true" ht="19" r="98">
      <c r="A98" s="4">
        <v>94</v>
      </c>
      <c r="B98" s="5" t="str" xml:space="preserve">
        <v>Gluecklich 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1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6">
        <f>(SUM(C98:Z98))+AE98</f>
      </c>
      <c r="AB98" s="7">
        <v>0</v>
      </c>
      <c r="AC98" s="2">
        <f>MIN(3, SUMPRODUCT((MOD(Streak!C99:Z99,5)=0)*(MOD(Streak!C99:Z99,10)&lt;&gt;0)*(Streak!C99:Z99&gt;0))) * 5</f>
      </c>
      <c r="AD98" s="2">
        <f>MIN(2, SUMPRODUCT((MOD(Streak!C99:Z99,10)=0)*(Streak!C99:Z99&gt;0))) * 20</f>
      </c>
      <c r="AE98" s="3">
        <f>SUM(AC98:AD98)</f>
      </c>
    </row>
    <row customHeight="true" ht="19" r="99">
      <c r="A99" s="4">
        <v>95</v>
      </c>
      <c r="B99" s="5" t="str" xml:space="preserve">
        <v> Bathy Acheh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1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6">
        <f>(SUM(C99:Z99))+AE99</f>
      </c>
      <c r="AB99" s="7">
        <v>0</v>
      </c>
      <c r="AC99" s="2">
        <f>MIN(3, SUMPRODUCT((MOD(Streak!C100:Z100,5)=0)*(MOD(Streak!C100:Z100,10)&lt;&gt;0)*(Streak!C100:Z100&gt;0))) * 5</f>
      </c>
      <c r="AD99" s="2">
        <f>MIN(2, SUMPRODUCT((MOD(Streak!C100:Z100,10)=0)*(Streak!C100:Z100&gt;0))) * 20</f>
      </c>
      <c r="AE99" s="3">
        <f>SUM(AC99:AD99)</f>
      </c>
    </row>
    <row customHeight="true" ht="19" r="100">
      <c r="A100" s="4">
        <v>96</v>
      </c>
      <c r="B100" s="5" t="str">
        <v>Deni Utama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1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6">
        <f>(SUM(C100:Z100))+AE100</f>
      </c>
      <c r="AB100" s="7">
        <v>0</v>
      </c>
      <c r="AC100" s="2">
        <f>MIN(3, SUMPRODUCT((MOD(Streak!C101:Z101,5)=0)*(MOD(Streak!C101:Z101,10)&lt;&gt;0)*(Streak!C101:Z101&gt;0))) * 5</f>
      </c>
      <c r="AD100" s="2">
        <f>MIN(2, SUMPRODUCT((MOD(Streak!C101:Z101,10)=0)*(Streak!C101:Z101&gt;0))) * 20</f>
      </c>
      <c r="AE100" s="3">
        <f>SUM(AC100:AD100)</f>
      </c>
    </row>
    <row customHeight="true" ht="19" r="101">
      <c r="A101" s="4">
        <v>97</v>
      </c>
      <c r="B101" s="5" t="str">
        <v>hiro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1</v>
      </c>
      <c r="L101" s="1">
        <v>1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6">
        <f>(SUM(C101:Z101))+AE101</f>
      </c>
      <c r="AB101" s="7">
        <v>0</v>
      </c>
      <c r="AC101" s="2">
        <f>MIN(3, SUMPRODUCT((MOD(Streak!C102:Z102,5)=0)*(MOD(Streak!C102:Z102,10)&lt;&gt;0)*(Streak!C102:Z102&gt;0))) * 5</f>
      </c>
      <c r="AD101" s="2">
        <f>MIN(2, SUMPRODUCT((MOD(Streak!C102:Z102,10)=0)*(Streak!C102:Z102&gt;0))) * 20</f>
      </c>
      <c r="AE101" s="3">
        <f>SUM(AC101:AD101)</f>
      </c>
    </row>
    <row customHeight="true" ht="19" r="102">
      <c r="A102" s="4">
        <v>98</v>
      </c>
      <c r="B102" s="5" t="str">
        <v>my melody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6">
        <f>(SUM(C102:Z102))+AE102</f>
      </c>
      <c r="AB102" s="7">
        <v>0</v>
      </c>
      <c r="AC102" s="2">
        <f>MIN(3, SUMPRODUCT((MOD(Streak!C103:Z103,5)=0)*(MOD(Streak!C103:Z103,10)&lt;&gt;0)*(Streak!C103:Z103&gt;0))) * 5</f>
      </c>
      <c r="AD102" s="2">
        <f>MIN(2, SUMPRODUCT((MOD(Streak!C103:Z103,10)=0)*(Streak!C103:Z103&gt;0))) * 20</f>
      </c>
      <c r="AE102" s="3">
        <f>SUM(AC102:AD102)</f>
      </c>
    </row>
    <row customHeight="true" ht="19" r="103">
      <c r="A103" s="4">
        <v>99</v>
      </c>
      <c r="B103" s="5" t="str">
        <v>Vrendi Al Fatih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6">
        <f>(SUM(C103:Z103))+AE103</f>
      </c>
      <c r="AB103" s="7">
        <v>0</v>
      </c>
      <c r="AC103" s="2">
        <f>MIN(3, SUMPRODUCT((MOD(Streak!C104:Z104,5)=0)*(MOD(Streak!C104:Z104,10)&lt;&gt;0)*(Streak!C104:Z104&gt;0))) * 5</f>
      </c>
      <c r="AD103" s="2">
        <f>MIN(2, SUMPRODUCT((MOD(Streak!C104:Z104,10)=0)*(Streak!C104:Z104&gt;0))) * 20</f>
      </c>
      <c r="AE103" s="3">
        <f>SUM(AC103:AD103)</f>
      </c>
    </row>
    <row customHeight="true" ht="19" r="104">
      <c r="A104" s="4">
        <v>100</v>
      </c>
      <c r="B104" s="5" t="str">
        <v>shani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</v>
      </c>
      <c r="P104" s="1">
        <v>0</v>
      </c>
      <c r="Q104" s="1">
        <v>0</v>
      </c>
      <c r="R104" s="1">
        <v>1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6">
        <f>(SUM(C104:Z104))+AE104</f>
      </c>
      <c r="AB104" s="7">
        <v>0</v>
      </c>
      <c r="AC104" s="2">
        <f>MIN(3, SUMPRODUCT((MOD(Streak!C105:Z105,5)=0)*(MOD(Streak!C105:Z105,10)&lt;&gt;0)*(Streak!C105:Z105&gt;0))) * 5</f>
      </c>
      <c r="AD104" s="2">
        <f>MIN(2, SUMPRODUCT((MOD(Streak!C105:Z105,10)=0)*(Streak!C105:Z105&gt;0))) * 20</f>
      </c>
      <c r="AE104" s="3">
        <f>SUM(AC104:AD104)</f>
      </c>
    </row>
    <row customHeight="true" ht="19" r="105">
      <c r="A105" s="4">
        <v>101</v>
      </c>
      <c r="B105" s="5" t="str" xml:space="preserve">
        <v>yy8702174 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6">
        <f>(SUM(C105:Z105))+AE105</f>
      </c>
      <c r="AB105" s="7">
        <v>0</v>
      </c>
      <c r="AC105" s="2">
        <f>MIN(3, SUMPRODUCT((MOD(Streak!C106:Z106,5)=0)*(MOD(Streak!C106:Z106,10)&lt;&gt;0)*(Streak!C106:Z106&gt;0))) * 5</f>
      </c>
      <c r="AD105" s="2">
        <f>MIN(2, SUMPRODUCT((MOD(Streak!C106:Z106,10)=0)*(Streak!C106:Z106&gt;0))) * 20</f>
      </c>
      <c r="AE105" s="3">
        <f>SUM(AC105:AD105)</f>
      </c>
    </row>
    <row customHeight="true" ht="19" r="106">
      <c r="A106" s="4">
        <v>102</v>
      </c>
      <c r="B106" s="5" t="str">
        <v>Gusuwanshi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6">
        <f>(SUM(C106:Z106))+AE106</f>
      </c>
      <c r="AB106" s="7">
        <v>0</v>
      </c>
      <c r="AC106" s="2">
        <f>MIN(3, SUMPRODUCT((MOD(Streak!C107:Z107,5)=0)*(MOD(Streak!C107:Z107,10)&lt;&gt;0)*(Streak!C107:Z107&gt;0))) * 5</f>
      </c>
      <c r="AD106" s="2">
        <f>MIN(2, SUMPRODUCT((MOD(Streak!C107:Z107,10)=0)*(Streak!C107:Z107&gt;0))) * 20</f>
      </c>
      <c r="AE106" s="3">
        <f>SUM(AC106:AD106)</f>
      </c>
    </row>
    <row customHeight="true" ht="19" r="107">
      <c r="A107" s="4">
        <v>103</v>
      </c>
      <c r="B107" s="5" t="str">
        <v>NONA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6">
        <f>(SUM(C107:Z107))+AE107</f>
      </c>
      <c r="AB107" s="7">
        <v>0</v>
      </c>
      <c r="AC107" s="2">
        <f>MIN(3, SUMPRODUCT((MOD(Streak!C108:Z108,5)=0)*(MOD(Streak!C108:Z108,10)&lt;&gt;0)*(Streak!C108:Z108&gt;0))) * 5</f>
      </c>
      <c r="AD107" s="2">
        <f>MIN(2, SUMPRODUCT((MOD(Streak!C108:Z108,10)=0)*(Streak!C108:Z108&gt;0))) * 20</f>
      </c>
      <c r="AE107" s="3">
        <f>SUM(AC107:AD107)</f>
      </c>
    </row>
    <row customHeight="true" ht="19" r="108">
      <c r="A108" s="4">
        <v>104</v>
      </c>
      <c r="B108" s="5" t="str">
        <v>Y2J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0</v>
      </c>
      <c r="P108" s="1">
        <v>1</v>
      </c>
      <c r="Q108" s="1">
        <v>0</v>
      </c>
      <c r="R108" s="1">
        <v>1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6">
        <f>(SUM(C108:Z108))+AE108</f>
      </c>
      <c r="AB108" s="7">
        <v>0</v>
      </c>
      <c r="AC108" s="2">
        <f>MIN(3, SUMPRODUCT((MOD(Streak!C109:Z109,5)=0)*(MOD(Streak!C109:Z109,10)&lt;&gt;0)*(Streak!C109:Z109&gt;0))) * 5</f>
      </c>
      <c r="AD108" s="2">
        <f>MIN(2, SUMPRODUCT((MOD(Streak!C109:Z109,10)=0)*(Streak!C109:Z109&gt;0))) * 20</f>
      </c>
      <c r="AE108" s="3">
        <f>SUM(AC108:AD108)</f>
      </c>
    </row>
    <row customHeight="true" ht="19" r="109">
      <c r="A109" s="4">
        <v>105</v>
      </c>
      <c r="B109" s="5" t="str" xml:space="preserve">
        <v>Tony Great 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6">
        <f>(SUM(C109:Z109))+AE109</f>
      </c>
      <c r="AB109" s="7">
        <v>0</v>
      </c>
      <c r="AC109" s="2">
        <f>MIN(3, SUMPRODUCT((MOD(Streak!C110:Z110,5)=0)*(MOD(Streak!C110:Z110,10)&lt;&gt;0)*(Streak!C110:Z110&gt;0))) * 5</f>
      </c>
      <c r="AD109" s="2">
        <f>MIN(2, SUMPRODUCT((MOD(Streak!C110:Z110,10)=0)*(Streak!C110:Z110&gt;0))) * 20</f>
      </c>
      <c r="AE109" s="3">
        <f>SUM(AC109:AD109)</f>
      </c>
    </row>
    <row customHeight="true" ht="19" r="110">
      <c r="A110" s="4">
        <v>106</v>
      </c>
      <c r="B110" s="5" t="str">
        <v>April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">
        <v>0</v>
      </c>
      <c r="P110" s="1">
        <v>1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6">
        <f>(SUM(C110:Z110))+AE110</f>
      </c>
      <c r="AB110" s="7">
        <v>0</v>
      </c>
      <c r="AC110" s="2">
        <f>MIN(3, SUMPRODUCT((MOD(Streak!C111:Z111,5)=0)*(MOD(Streak!C111:Z111,10)&lt;&gt;0)*(Streak!C111:Z111&gt;0))) * 5</f>
      </c>
      <c r="AD110" s="2">
        <f>MIN(2, SUMPRODUCT((MOD(Streak!C111:Z111,10)=0)*(Streak!C111:Z111&gt;0))) * 20</f>
      </c>
      <c r="AE110" s="3">
        <f>SUM(AC110:AD110)</f>
      </c>
    </row>
    <row customHeight="true" ht="19" r="111">
      <c r="A111" s="4">
        <v>107</v>
      </c>
      <c r="B111" s="5" t="str" xml:space="preserve">
        <v>Azlan_76Rav 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6">
        <f>(SUM(C111:Z111))+AE111</f>
      </c>
      <c r="AB111" s="7">
        <v>0</v>
      </c>
      <c r="AC111" s="2">
        <f>MIN(3, SUMPRODUCT((MOD(Streak!C112:Z112,5)=0)*(MOD(Streak!C112:Z112,10)&lt;&gt;0)*(Streak!C112:Z112&gt;0))) * 5</f>
      </c>
      <c r="AD111" s="2">
        <f>MIN(2, SUMPRODUCT((MOD(Streak!C112:Z112,10)=0)*(Streak!C112:Z112&gt;0))) * 20</f>
      </c>
      <c r="AE111" s="3">
        <f>SUM(AC111:AD111)</f>
      </c>
    </row>
    <row customHeight="true" ht="19" r="112">
      <c r="A112" s="4">
        <v>108</v>
      </c>
      <c r="B112" s="5" t="str">
        <v>Bang Roy Pinter Mend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6">
        <f>(SUM(C112:Z112))+AE112</f>
      </c>
      <c r="AB112" s="7">
        <v>0</v>
      </c>
      <c r="AC112" s="2">
        <f>MIN(3, SUMPRODUCT((MOD(Streak!C113:Z113,5)=0)*(MOD(Streak!C113:Z113,10)&lt;&gt;0)*(Streak!C113:Z113&gt;0))) * 5</f>
      </c>
      <c r="AD112" s="2">
        <f>MIN(2, SUMPRODUCT((MOD(Streak!C113:Z113,10)=0)*(Streak!C113:Z113&gt;0))) * 20</f>
      </c>
      <c r="AE112" s="3">
        <f>SUM(AC112:AD112)</f>
      </c>
    </row>
    <row customHeight="true" ht="19" r="113">
      <c r="A113" s="4">
        <v>109</v>
      </c>
      <c r="B113" s="5" t="str" xml:space="preserve">
        <v>Desi Coy 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1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6">
        <f>(SUM(C113:Z113))+AE113</f>
      </c>
      <c r="AB113" s="7">
        <v>0</v>
      </c>
      <c r="AC113" s="2">
        <f>MIN(3, SUMPRODUCT((MOD(Streak!C114:Z114,5)=0)*(MOD(Streak!C114:Z114,10)&lt;&gt;0)*(Streak!C114:Z114&gt;0))) * 5</f>
      </c>
      <c r="AD113" s="2">
        <f>MIN(2, SUMPRODUCT((MOD(Streak!C114:Z114,10)=0)*(Streak!C114:Z114&gt;0))) * 20</f>
      </c>
      <c r="AE113" s="3">
        <f>SUM(AC113:AD113)</f>
      </c>
    </row>
    <row customHeight="true" ht="19" r="114">
      <c r="A114" s="4">
        <v>110</v>
      </c>
      <c r="B114" s="5" t="str" xml:space="preserve">
        <v> Kirana Ramadhani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6">
        <f>(SUM(C114:Z114))+AE114</f>
      </c>
      <c r="AB114" s="7">
        <v>0</v>
      </c>
      <c r="AC114" s="2">
        <f>MIN(3, SUMPRODUCT((MOD(Streak!C115:Z115,5)=0)*(MOD(Streak!C115:Z115,10)&lt;&gt;0)*(Streak!C115:Z115&gt;0))) * 5</f>
      </c>
      <c r="AD114" s="2">
        <f>MIN(2, SUMPRODUCT((MOD(Streak!C115:Z115,10)=0)*(Streak!C115:Z115&gt;0))) * 20</f>
      </c>
      <c r="AE114" s="3">
        <f>SUM(AC114:AD114)</f>
      </c>
    </row>
    <row customHeight="true" ht="19" r="115">
      <c r="A115" s="4">
        <v>111</v>
      </c>
      <c r="B115" s="5" t="str">
        <v>Apeng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6">
        <f>(SUM(C115:Z115))+AE115</f>
      </c>
      <c r="AB115" s="7">
        <v>0</v>
      </c>
      <c r="AC115" s="2">
        <f>MIN(3, SUMPRODUCT((MOD(Streak!C116:Z116,5)=0)*(MOD(Streak!C116:Z116,10)&lt;&gt;0)*(Streak!C116:Z116&gt;0))) * 5</f>
      </c>
      <c r="AD115" s="2">
        <f>MIN(2, SUMPRODUCT((MOD(Streak!C116:Z116,10)=0)*(Streak!C116:Z116&gt;0))) * 20</f>
      </c>
      <c r="AE115" s="3">
        <f>SUM(AC115:AD115)</f>
      </c>
    </row>
    <row customHeight="true" ht="19" r="116">
      <c r="A116" s="4">
        <v>112</v>
      </c>
      <c r="B116" s="5" t="str">
        <v>Kayden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6">
        <f>(SUM(C116:Z116))+AE116</f>
      </c>
      <c r="AB116" s="7">
        <v>0</v>
      </c>
      <c r="AC116" s="2">
        <f>MIN(3, SUMPRODUCT((MOD(Streak!C117:Z117,5)=0)*(MOD(Streak!C117:Z117,10)&lt;&gt;0)*(Streak!C117:Z117&gt;0))) * 5</f>
      </c>
      <c r="AD116" s="2">
        <f>MIN(2, SUMPRODUCT((MOD(Streak!C117:Z117,10)=0)*(Streak!C117:Z117&gt;0))) * 20</f>
      </c>
      <c r="AE116" s="3">
        <f>SUM(AC116:AD116)</f>
      </c>
    </row>
    <row customHeight="true" ht="19" r="117">
      <c r="A117" s="4">
        <v>113</v>
      </c>
      <c r="B117" s="5" t="str">
        <v>Dhoni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6">
        <f>(SUM(C117:Z117))+AE117</f>
      </c>
      <c r="AB117" s="7">
        <v>0</v>
      </c>
      <c r="AC117" s="2">
        <f>MIN(3, SUMPRODUCT((MOD(Streak!C118:Z118,5)=0)*(MOD(Streak!C118:Z118,10)&lt;&gt;0)*(Streak!C118:Z118&gt;0))) * 5</f>
      </c>
      <c r="AD117" s="2">
        <f>MIN(2, SUMPRODUCT((MOD(Streak!C118:Z118,10)=0)*(Streak!C118:Z118&gt;0))) * 20</f>
      </c>
      <c r="AE117" s="3">
        <f>SUM(AC117:AD117)</f>
      </c>
    </row>
    <row customHeight="true" ht="19" r="118">
      <c r="A118" s="4">
        <v>114</v>
      </c>
      <c r="B118" s="5" t="str">
        <v>Si Tampan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6">
        <f>(SUM(C118:Z118))+AE118</f>
      </c>
      <c r="AB118" s="7">
        <v>0</v>
      </c>
      <c r="AC118" s="2">
        <f>MIN(3, SUMPRODUCT((MOD(Streak!C119:Z119,5)=0)*(MOD(Streak!C119:Z119,10)&lt;&gt;0)*(Streak!C119:Z119&gt;0))) * 5</f>
      </c>
      <c r="AD118" s="2">
        <f>MIN(2, SUMPRODUCT((MOD(Streak!C119:Z119,10)=0)*(Streak!C119:Z119&gt;0))) * 20</f>
      </c>
      <c r="AE118" s="3">
        <f>SUM(AC118:AD118)</f>
      </c>
    </row>
    <row customHeight="true" ht="19" r="119">
      <c r="A119" s="4">
        <v>115</v>
      </c>
      <c r="B119" s="5" t="str">
        <v>Harly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6">
        <f>(SUM(C119:Z119))+AE119</f>
      </c>
      <c r="AB119" s="7">
        <v>0</v>
      </c>
      <c r="AC119" s="2">
        <f>MIN(3, SUMPRODUCT((MOD(Streak!C120:Z120,5)=0)*(MOD(Streak!C120:Z120,10)&lt;&gt;0)*(Streak!C120:Z120&gt;0))) * 5</f>
      </c>
      <c r="AD119" s="2">
        <f>MIN(2, SUMPRODUCT((MOD(Streak!C120:Z120,10)=0)*(Streak!C120:Z120&gt;0))) * 20</f>
      </c>
      <c r="AE119" s="3">
        <f>SUM(AC119:AD119)</f>
      </c>
    </row>
    <row customHeight="true" ht="19" r="120">
      <c r="A120" s="4">
        <v>116</v>
      </c>
      <c r="B120" s="5" t="str">
        <v>Raki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6">
        <f>(SUM(C120:Z120))+AE120</f>
      </c>
      <c r="AB120" s="7">
        <v>0</v>
      </c>
      <c r="AC120" s="2">
        <f>MIN(3, SUMPRODUCT((MOD(Streak!C121:Z121,5)=0)*(MOD(Streak!C121:Z121,10)&lt;&gt;0)*(Streak!C121:Z121&gt;0))) * 5</f>
      </c>
      <c r="AD120" s="2">
        <f>MIN(2, SUMPRODUCT((MOD(Streak!C121:Z121,10)=0)*(Streak!C121:Z121&gt;0))) * 20</f>
      </c>
      <c r="AE120" s="3">
        <f>SUM(AC120:AD120)</f>
      </c>
    </row>
    <row customHeight="true" ht="19" r="121">
      <c r="A121" s="4">
        <v>117</v>
      </c>
      <c r="B121" s="5" t="str">
        <v>winner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6">
        <f>(SUM(C121:Z121))+AE121</f>
      </c>
      <c r="AB121" s="7">
        <v>0</v>
      </c>
      <c r="AC121" s="2">
        <f>MIN(3, SUMPRODUCT((MOD(Streak!C122:Z122,5)=0)*(MOD(Streak!C122:Z122,10)&lt;&gt;0)*(Streak!C122:Z122&gt;0))) * 5</f>
      </c>
      <c r="AD121" s="2">
        <f>MIN(2, SUMPRODUCT((MOD(Streak!C122:Z122,10)=0)*(Streak!C122:Z122&gt;0))) * 20</f>
      </c>
      <c r="AE121" s="3">
        <f>SUM(AC121:AD121)</f>
      </c>
    </row>
    <row customHeight="true" ht="19" r="122">
      <c r="A122" s="4">
        <v>118</v>
      </c>
      <c r="B122" s="5" t="str">
        <v>wolvyzz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6">
        <f>(SUM(C122:Z122))+AE122</f>
      </c>
      <c r="AB122" s="7">
        <v>0</v>
      </c>
      <c r="AC122" s="2">
        <f>MIN(3, SUMPRODUCT((MOD(Streak!C123:Z123,5)=0)*(MOD(Streak!C123:Z123,10)&lt;&gt;0)*(Streak!C123:Z123&gt;0))) * 5</f>
      </c>
      <c r="AD122" s="2">
        <f>MIN(2, SUMPRODUCT((MOD(Streak!C123:Z123,10)=0)*(Streak!C123:Z123&gt;0))) * 20</f>
      </c>
      <c r="AE122" s="3">
        <f>SUM(AC122:AD122)</f>
      </c>
    </row>
    <row customHeight="true" ht="19" r="123">
      <c r="A123" s="4">
        <v>119</v>
      </c>
      <c r="B123" s="5" t="str">
        <v>Aceng Ceng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6">
        <f>(SUM(C123:Z123))+AE123</f>
      </c>
      <c r="AB123" s="7">
        <v>0</v>
      </c>
      <c r="AC123" s="2">
        <f>MIN(3, SUMPRODUCT((MOD(Streak!C124:Z124,5)=0)*(MOD(Streak!C124:Z124,10)&lt;&gt;0)*(Streak!C124:Z124&gt;0))) * 5</f>
      </c>
      <c r="AD123" s="2">
        <f>MIN(2, SUMPRODUCT((MOD(Streak!C124:Z124,10)=0)*(Streak!C124:Z124&gt;0))) * 20</f>
      </c>
      <c r="AE123" s="3">
        <f>SUM(AC123:AD123)</f>
      </c>
    </row>
    <row customHeight="true" ht="19" r="124">
      <c r="A124" s="4">
        <v>120</v>
      </c>
      <c r="B124" s="5" t="str">
        <v>Truk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6">
        <f>(SUM(C124:Z124))+AE124</f>
      </c>
      <c r="AB124" s="7">
        <v>0</v>
      </c>
      <c r="AC124" s="2">
        <f>MIN(3, SUMPRODUCT((MOD(Streak!C125:Z125,5)=0)*(MOD(Streak!C125:Z125,10)&lt;&gt;0)*(Streak!C125:Z125&gt;0))) * 5</f>
      </c>
      <c r="AD124" s="2">
        <f>MIN(2, SUMPRODUCT((MOD(Streak!C125:Z125,10)=0)*(Streak!C125:Z125&gt;0))) * 20</f>
      </c>
      <c r="AE124" s="3">
        <f>SUM(AC124:AD124)</f>
      </c>
    </row>
    <row customHeight="true" ht="19" r="125">
      <c r="A125" s="4">
        <v>121</v>
      </c>
      <c r="B125" s="5" t="str">
        <v>Rachel Kurniawati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6">
        <f>(SUM(C125:Z125))+AE125</f>
      </c>
      <c r="AB125" s="7">
        <v>0</v>
      </c>
      <c r="AC125" s="2">
        <f>MIN(3, SUMPRODUCT((MOD(Streak!C126:Z126,5)=0)*(MOD(Streak!C126:Z126,10)&lt;&gt;0)*(Streak!C126:Z126&gt;0))) * 5</f>
      </c>
      <c r="AD125" s="2">
        <f>MIN(2, SUMPRODUCT((MOD(Streak!C126:Z126,10)=0)*(Streak!C126:Z126&gt;0))) * 20</f>
      </c>
      <c r="AE125" s="3">
        <f>SUM(AC125:AD125)</f>
      </c>
    </row>
    <row customHeight="true" ht="19" r="126">
      <c r="A126" s="4">
        <v>122</v>
      </c>
      <c r="B126" s="5" t="str">
        <v>Etiarni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1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6">
        <f>(SUM(C126:Z126))+AE126</f>
      </c>
      <c r="AB126" s="7">
        <v>0</v>
      </c>
      <c r="AC126" s="2">
        <f>MIN(3, SUMPRODUCT((MOD(Streak!C127:Z127,5)=0)*(MOD(Streak!C127:Z127,10)&lt;&gt;0)*(Streak!C127:Z127&gt;0))) * 5</f>
      </c>
      <c r="AD126" s="2">
        <f>MIN(2, SUMPRODUCT((MOD(Streak!C127:Z127,10)=0)*(Streak!C127:Z127&gt;0))) * 20</f>
      </c>
      <c r="AE126" s="3">
        <f>SUM(AC126:AD126)</f>
      </c>
    </row>
    <row customHeight="true" ht="19" r="127">
      <c r="A127" s="4">
        <v>123</v>
      </c>
      <c r="B127" s="5" t="str">
        <v>Dwiyan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1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6">
        <f>(SUM(C127:Z127))+AE127</f>
      </c>
      <c r="AB127" s="7">
        <v>0</v>
      </c>
      <c r="AC127" s="2">
        <f>MIN(3, SUMPRODUCT((MOD(Streak!C128:Z128,5)=0)*(MOD(Streak!C128:Z128,10)&lt;&gt;0)*(Streak!C128:Z128&gt;0))) * 5</f>
      </c>
      <c r="AD127" s="2">
        <f>MIN(2, SUMPRODUCT((MOD(Streak!C128:Z128,10)=0)*(Streak!C128:Z128&gt;0))) * 20</f>
      </c>
      <c r="AE127" s="3">
        <f>SUM(AC127:AD127)</f>
      </c>
    </row>
    <row customHeight="true" ht="19" r="128">
      <c r="A128" s="4">
        <v>124</v>
      </c>
      <c r="B128" s="5" t="str">
        <v>Dek.Bilqis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1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6">
        <f>(SUM(C128:Z128))+AE128</f>
      </c>
      <c r="AB128" s="7">
        <v>0</v>
      </c>
      <c r="AC128" s="2">
        <f>MIN(3, SUMPRODUCT((MOD(Streak!C129:Z129,5)=0)*(MOD(Streak!C129:Z129,10)&lt;&gt;0)*(Streak!C129:Z129&gt;0))) * 5</f>
      </c>
      <c r="AD128" s="2">
        <f>MIN(2, SUMPRODUCT((MOD(Streak!C129:Z129,10)=0)*(Streak!C129:Z129&gt;0))) * 20</f>
      </c>
      <c r="AE128" s="3">
        <f>SUM(AC128:AD128)</f>
      </c>
    </row>
    <row customHeight="true" ht="19" r="129">
      <c r="A129" s="4">
        <v>125</v>
      </c>
      <c r="B129" s="5" t="str">
        <v>apink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1</v>
      </c>
      <c r="Q129" s="1">
        <v>1</v>
      </c>
      <c r="R129" s="1">
        <v>1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6">
        <f>(SUM(C129:Z129))+AE129</f>
      </c>
      <c r="AB129" s="7">
        <v>0</v>
      </c>
      <c r="AC129" s="2">
        <f>MIN(3, SUMPRODUCT((MOD(Streak!C130:Z130,5)=0)*(MOD(Streak!C130:Z130,10)&lt;&gt;0)*(Streak!C130:Z130&gt;0))) * 5</f>
      </c>
      <c r="AD129" s="2">
        <f>MIN(2, SUMPRODUCT((MOD(Streak!C130:Z130,10)=0)*(Streak!C130:Z130&gt;0))) * 20</f>
      </c>
      <c r="AE129" s="3">
        <f>SUM(AC129:AD129)</f>
      </c>
    </row>
    <row customHeight="true" ht="19" r="130">
      <c r="A130" s="4">
        <v>126</v>
      </c>
      <c r="B130" s="5" t="str">
        <v>FriskaWS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1</v>
      </c>
      <c r="R130" s="1">
        <v>1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6">
        <f>(SUM(C130:Z130))+AE130</f>
      </c>
      <c r="AB130" s="7">
        <v>0</v>
      </c>
      <c r="AC130" s="2">
        <f>MIN(3, SUMPRODUCT((MOD(Streak!C131:Z131,5)=0)*(MOD(Streak!C131:Z131,10)&lt;&gt;0)*(Streak!C131:Z131&gt;0))) * 5</f>
      </c>
      <c r="AD130" s="2">
        <f>MIN(2, SUMPRODUCT((MOD(Streak!C131:Z131,10)=0)*(Streak!C131:Z131&gt;0))) * 20</f>
      </c>
      <c r="AE130" s="3">
        <f>SUM(AC130:AD130)</f>
      </c>
    </row>
    <row customHeight="true" ht="19" r="131">
      <c r="A131" s="4">
        <v>127</v>
      </c>
      <c r="B131" s="5" t="str">
        <v>Scucum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1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6">
        <f>(SUM(C131:Z131))+AE131</f>
      </c>
      <c r="AB131" s="7">
        <v>0</v>
      </c>
      <c r="AC131" s="2">
        <f>MIN(3, SUMPRODUCT((MOD(Streak!C132:Z132,5)=0)*(MOD(Streak!C132:Z132,10)&lt;&gt;0)*(Streak!C132:Z132&gt;0))) * 5</f>
      </c>
      <c r="AD131" s="2">
        <f>MIN(2, SUMPRODUCT((MOD(Streak!C132:Z132,10)=0)*(Streak!C132:Z132&gt;0))) * 20</f>
      </c>
      <c r="AE131" s="3">
        <f>SUM(AC131:AD131)</f>
      </c>
    </row>
    <row customHeight="true" ht="19" r="132">
      <c r="A132" s="4">
        <v>128</v>
      </c>
      <c r="B132" s="5" t="str">
        <v>Loeimoy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1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6">
        <f>(SUM(C132:Z132))+AE132</f>
      </c>
      <c r="AB132" s="7">
        <v>0</v>
      </c>
      <c r="AC132" s="2">
        <f>MIN(3, SUMPRODUCT((MOD(Streak!C133:Z133,5)=0)*(MOD(Streak!C133:Z133,10)&lt;&gt;0)*(Streak!C133:Z133&gt;0))) * 5</f>
      </c>
      <c r="AD132" s="2">
        <f>MIN(2, SUMPRODUCT((MOD(Streak!C133:Z133,10)=0)*(Streak!C133:Z133&gt;0))) * 20</f>
      </c>
      <c r="AE132" s="3">
        <f>SUM(AC132:AD132)</f>
      </c>
    </row>
    <row customHeight="true" ht="19" r="133">
      <c r="A133" s="4">
        <v>129</v>
      </c>
      <c r="B133" s="5" t="str">
        <v>Gilang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1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6">
        <f>(SUM(C133:Z133))+AE133</f>
      </c>
      <c r="AB133" s="7">
        <v>0</v>
      </c>
      <c r="AC133" s="2">
        <f>MIN(3, SUMPRODUCT((MOD(Streak!C134:Z134,5)=0)*(MOD(Streak!C134:Z134,10)&lt;&gt;0)*(Streak!C134:Z134&gt;0))) * 5</f>
      </c>
      <c r="AD133" s="2">
        <f>MIN(2, SUMPRODUCT((MOD(Streak!C134:Z134,10)=0)*(Streak!C134:Z134&gt;0))) * 20</f>
      </c>
      <c r="AE133" s="3">
        <f>SUM(AC133:AD133)</f>
      </c>
    </row>
    <row customHeight="true" ht="19" r="134">
      <c r="A134" s="4">
        <v>130</v>
      </c>
      <c r="B134" s="5" t="str">
        <v>Akbar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1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6">
        <f>(SUM(C134:Z134))+AE134</f>
      </c>
      <c r="AB134" s="7">
        <v>0</v>
      </c>
      <c r="AC134" s="2">
        <f>MIN(3, SUMPRODUCT((MOD(Streak!C135:Z135,5)=0)*(MOD(Streak!C135:Z135,10)&lt;&gt;0)*(Streak!C135:Z135&gt;0))) * 5</f>
      </c>
      <c r="AD134" s="2">
        <f>MIN(2, SUMPRODUCT((MOD(Streak!C135:Z135,10)=0)*(Streak!C135:Z135&gt;0))) * 20</f>
      </c>
      <c r="AE134" s="3">
        <f>SUM(AC134:AD134)</f>
      </c>
    </row>
    <row customHeight="true" ht="19" r="135">
      <c r="A135" s="4">
        <v>131</v>
      </c>
      <c r="B135" s="5" t="str" xml:space="preserve">
        <v>zUAGBiwi 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1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6">
        <f>(SUM(C135:Z135))+AE135</f>
      </c>
      <c r="AB135" s="7">
        <v>0</v>
      </c>
      <c r="AC135" s="2">
        <f>MIN(3, SUMPRODUCT((MOD(Streak!C136:Z136,5)=0)*(MOD(Streak!C136:Z136,10)&lt;&gt;0)*(Streak!C136:Z136&gt;0))) * 5</f>
      </c>
      <c r="AD135" s="2">
        <f>MIN(2, SUMPRODUCT((MOD(Streak!C136:Z136,10)=0)*(Streak!C136:Z136&gt;0))) * 20</f>
      </c>
      <c r="AE135" s="3">
        <f>SUM(AC135:AD135)</f>
      </c>
    </row>
    <row customHeight="true" ht="19" r="136">
      <c r="A136" s="4">
        <v>132</v>
      </c>
      <c r="B136" s="5" t="str">
        <v>Nedy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1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6">
        <f>(SUM(C136:Z136))+AE136</f>
      </c>
      <c r="AB136" s="7">
        <v>0</v>
      </c>
      <c r="AC136" s="2">
        <f>MIN(3, SUMPRODUCT((MOD(Streak!C137:Z137,5)=0)*(MOD(Streak!C137:Z137,10)&lt;&gt;0)*(Streak!C137:Z137&gt;0))) * 5</f>
      </c>
      <c r="AD136" s="2">
        <f>MIN(2, SUMPRODUCT((MOD(Streak!C137:Z137,10)=0)*(Streak!C137:Z137&gt;0))) * 20</f>
      </c>
      <c r="AE136" s="3">
        <f>SUM(AC136:AD136)</f>
      </c>
    </row>
    <row customHeight="true" ht="19" r="137">
      <c r="A137" s="4"/>
      <c r="B137" s="5"/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6">
        <f>(SUM(C137:Z137))+AE137</f>
      </c>
      <c r="AB137" s="7">
        <v>0</v>
      </c>
      <c r="AC137" s="2">
        <f>MIN(3, SUMPRODUCT((MOD(Streak!C138:Z138,5)=0)*(MOD(Streak!C138:Z138,10)&lt;&gt;0)*(Streak!C138:Z138&gt;0))) * 5</f>
      </c>
      <c r="AD137" s="2">
        <f>MIN(2, SUMPRODUCT((MOD(Streak!C138:Z138,10)=0)*(Streak!C138:Z138&gt;0))) * 20</f>
      </c>
      <c r="AE137" s="3">
        <f>SUM(AC137:AD137)</f>
      </c>
    </row>
    <row customHeight="true" ht="19" r="138">
      <c r="A138" s="4"/>
      <c r="B138" s="5"/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6">
        <f>(SUM(C138:Z138))+AE138</f>
      </c>
      <c r="AB138" s="7">
        <v>0</v>
      </c>
      <c r="AC138" s="2">
        <f>MIN(3, SUMPRODUCT((MOD(Streak!C139:Z139,5)=0)*(MOD(Streak!C139:Z139,10)&lt;&gt;0)*(Streak!C139:Z139&gt;0))) * 5</f>
      </c>
      <c r="AD138" s="2">
        <f>MIN(2, SUMPRODUCT((MOD(Streak!C139:Z139,10)=0)*(Streak!C139:Z139&gt;0))) * 20</f>
      </c>
      <c r="AE138" s="3">
        <f>SUM(AC138:AD138)</f>
      </c>
    </row>
    <row customHeight="true" ht="19" r="139">
      <c r="A139" s="4"/>
      <c r="B139" s="5"/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6">
        <f>(SUM(C139:Z139))+AE139</f>
      </c>
      <c r="AB139" s="7">
        <v>0</v>
      </c>
      <c r="AC139" s="2">
        <f>MIN(3, SUMPRODUCT((MOD(Streak!C140:Z140,5)=0)*(MOD(Streak!C140:Z140,10)&lt;&gt;0)*(Streak!C140:Z140&gt;0))) * 5</f>
      </c>
      <c r="AD139" s="2">
        <f>MIN(2, SUMPRODUCT((MOD(Streak!C140:Z140,10)=0)*(Streak!C140:Z140&gt;0))) * 20</f>
      </c>
      <c r="AE139" s="3">
        <f>SUM(AC139:AD139)</f>
      </c>
    </row>
    <row customHeight="true" ht="19" r="140">
      <c r="A140" s="4"/>
      <c r="B140" s="5"/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6">
        <f>(SUM(C140:Z140))+AE140</f>
      </c>
      <c r="AB140" s="7">
        <v>0</v>
      </c>
      <c r="AC140" s="2">
        <f>MIN(3, SUMPRODUCT((MOD(Streak!C141:Z141,5)=0)*(MOD(Streak!C141:Z141,10)&lt;&gt;0)*(Streak!C141:Z141&gt;0))) * 5</f>
      </c>
      <c r="AD140" s="2">
        <f>MIN(2, SUMPRODUCT((MOD(Streak!C141:Z141,10)=0)*(Streak!C141:Z141&gt;0))) * 20</f>
      </c>
      <c r="AE140" s="3">
        <f>SUM(AC140:AD140)</f>
      </c>
    </row>
    <row customHeight="true" ht="19" r="141">
      <c r="A141" s="4"/>
      <c r="B141" s="5"/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6">
        <f>(SUM(C141:Z141))+AE141</f>
      </c>
      <c r="AB141" s="7">
        <v>0</v>
      </c>
      <c r="AC141" s="2">
        <f>MIN(3, SUMPRODUCT((MOD(Streak!C142:Z142,5)=0)*(MOD(Streak!C142:Z142,10)&lt;&gt;0)*(Streak!C142:Z142&gt;0))) * 5</f>
      </c>
      <c r="AD141" s="2">
        <f>MIN(2, SUMPRODUCT((MOD(Streak!C142:Z142,10)=0)*(Streak!C142:Z142&gt;0))) * 20</f>
      </c>
      <c r="AE141" s="3">
        <f>SUM(AC141:AD141)</f>
      </c>
    </row>
    <row customHeight="true" ht="19" r="142">
      <c r="A142" s="4"/>
      <c r="B142" s="5"/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6">
        <f>(SUM(C142:Z142))+AE142</f>
      </c>
      <c r="AB142" s="7">
        <v>0</v>
      </c>
      <c r="AC142" s="2">
        <f>MIN(3, SUMPRODUCT((MOD(Streak!C143:Z143,5)=0)*(MOD(Streak!C143:Z143,10)&lt;&gt;0)*(Streak!C143:Z143&gt;0))) * 5</f>
      </c>
      <c r="AD142" s="2">
        <f>MIN(2, SUMPRODUCT((MOD(Streak!C143:Z143,10)=0)*(Streak!C143:Z143&gt;0))) * 20</f>
      </c>
      <c r="AE142" s="3">
        <f>SUM(AC142:AD142)</f>
      </c>
    </row>
    <row customHeight="true" ht="19" r="143">
      <c r="A143" s="4"/>
      <c r="B143" s="5"/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6">
        <f>(SUM(C143:Z143))+AE143</f>
      </c>
      <c r="AB143" s="7">
        <v>0</v>
      </c>
      <c r="AC143" s="2">
        <f>MIN(3, SUMPRODUCT((MOD(Streak!C144:Z144,5)=0)*(MOD(Streak!C144:Z144,10)&lt;&gt;0)*(Streak!C144:Z144&gt;0))) * 5</f>
      </c>
      <c r="AD143" s="2">
        <f>MIN(2, SUMPRODUCT((MOD(Streak!C144:Z144,10)=0)*(Streak!C144:Z144&gt;0))) * 20</f>
      </c>
      <c r="AE143" s="3">
        <f>SUM(AC143:AD143)</f>
      </c>
    </row>
    <row customHeight="true" ht="19" r="144">
      <c r="A144" s="4"/>
      <c r="B144" s="5"/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6">
        <f>(SUM(C144:Z144))+AE144</f>
      </c>
      <c r="AB144" s="7">
        <v>0</v>
      </c>
      <c r="AC144" s="2">
        <f>MIN(3, SUMPRODUCT((MOD(Streak!C145:Z145,5)=0)*(MOD(Streak!C145:Z145,10)&lt;&gt;0)*(Streak!C145:Z145&gt;0))) * 5</f>
      </c>
      <c r="AD144" s="2">
        <f>MIN(2, SUMPRODUCT((MOD(Streak!C145:Z145,10)=0)*(Streak!C145:Z145&gt;0))) * 20</f>
      </c>
      <c r="AE144" s="3">
        <f>SUM(AC144:AD144)</f>
      </c>
    </row>
    <row customHeight="true" ht="19" r="145">
      <c r="A145" s="4"/>
      <c r="B145" s="5"/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6">
        <f>(SUM(C145:Z145))+AE145</f>
      </c>
      <c r="AB145" s="7">
        <v>0</v>
      </c>
      <c r="AC145" s="2">
        <f>MIN(3, SUMPRODUCT((MOD(Streak!C146:Z146,5)=0)*(MOD(Streak!C146:Z146,10)&lt;&gt;0)*(Streak!C146:Z146&gt;0))) * 5</f>
      </c>
      <c r="AD145" s="2">
        <f>MIN(2, SUMPRODUCT((MOD(Streak!C146:Z146,10)=0)*(Streak!C146:Z146&gt;0))) * 20</f>
      </c>
      <c r="AE145" s="3">
        <f>SUM(AC145:AD145)</f>
      </c>
    </row>
    <row customHeight="true" ht="19" r="146">
      <c r="A146" s="4"/>
      <c r="B146" s="5"/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6">
        <f>(SUM(C146:Z146))+AE146</f>
      </c>
      <c r="AB146" s="7">
        <v>0</v>
      </c>
      <c r="AC146" s="2">
        <f>MIN(3, SUMPRODUCT((MOD(Streak!C147:Z147,5)=0)*(MOD(Streak!C147:Z147,10)&lt;&gt;0)*(Streak!C147:Z147&gt;0))) * 5</f>
      </c>
      <c r="AD146" s="2">
        <f>MIN(2, SUMPRODUCT((MOD(Streak!C147:Z147,10)=0)*(Streak!C147:Z147&gt;0))) * 20</f>
      </c>
      <c r="AE146" s="3">
        <f>SUM(AC146:AD146)</f>
      </c>
    </row>
    <row customHeight="true" ht="19" r="147">
      <c r="A147" s="4"/>
      <c r="B147" s="5"/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6">
        <f>(SUM(C147:Z147))+AE147</f>
      </c>
      <c r="AB147" s="7">
        <v>0</v>
      </c>
      <c r="AC147" s="2">
        <f>MIN(3, SUMPRODUCT((MOD(Streak!C148:Z148,5)=0)*(MOD(Streak!C148:Z148,10)&lt;&gt;0)*(Streak!C148:Z148&gt;0))) * 5</f>
      </c>
      <c r="AD147" s="2">
        <f>MIN(2, SUMPRODUCT((MOD(Streak!C148:Z148,10)=0)*(Streak!C148:Z148&gt;0))) * 20</f>
      </c>
      <c r="AE147" s="3">
        <f>SUM(AC147:AD147)</f>
      </c>
    </row>
    <row customHeight="true" ht="19" r="148">
      <c r="A148" s="4"/>
      <c r="B148" s="5"/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6">
        <f>(SUM(C148:Z148))+AE148</f>
      </c>
      <c r="AB148" s="7">
        <v>0</v>
      </c>
      <c r="AC148" s="2">
        <f>MIN(3, SUMPRODUCT((MOD(Streak!C149:Z149,5)=0)*(MOD(Streak!C149:Z149,10)&lt;&gt;0)*(Streak!C149:Z149&gt;0))) * 5</f>
      </c>
      <c r="AD148" s="2">
        <f>MIN(2, SUMPRODUCT((MOD(Streak!C149:Z149,10)=0)*(Streak!C149:Z149&gt;0))) * 20</f>
      </c>
      <c r="AE148" s="3">
        <f>SUM(AC148:AD148)</f>
      </c>
    </row>
    <row customHeight="true" ht="19" r="149">
      <c r="A149" s="4"/>
      <c r="B149" s="5"/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6">
        <f>(SUM(C149:Z149))+AE149</f>
      </c>
      <c r="AB149" s="7">
        <v>0</v>
      </c>
      <c r="AC149" s="2">
        <f>MIN(3, SUMPRODUCT((MOD(Streak!C150:Z150,5)=0)*(MOD(Streak!C150:Z150,10)&lt;&gt;0)*(Streak!C150:Z150&gt;0))) * 5</f>
      </c>
      <c r="AD149" s="2">
        <f>MIN(2, SUMPRODUCT((MOD(Streak!C150:Z150,10)=0)*(Streak!C150:Z150&gt;0))) * 20</f>
      </c>
      <c r="AE149" s="3">
        <f>SUM(AC149:AD149)</f>
      </c>
    </row>
    <row customHeight="true" ht="19" r="150">
      <c r="A150" s="4"/>
      <c r="B150" s="5"/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6">
        <f>(SUM(C150:Z150))+AE150</f>
      </c>
      <c r="AB150" s="7">
        <v>0</v>
      </c>
      <c r="AC150" s="2">
        <f>MIN(3, SUMPRODUCT((MOD(Streak!C151:Z151,5)=0)*(MOD(Streak!C151:Z151,10)&lt;&gt;0)*(Streak!C151:Z151&gt;0))) * 5</f>
      </c>
      <c r="AD150" s="2">
        <f>MIN(2, SUMPRODUCT((MOD(Streak!C151:Z151,10)=0)*(Streak!C151:Z151&gt;0))) * 20</f>
      </c>
      <c r="AE150" s="3">
        <f>SUM(AC150:AD150)</f>
      </c>
    </row>
    <row customHeight="true" ht="19" r="151">
      <c r="A151" s="4"/>
      <c r="B151" s="5"/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6">
        <f>(SUM(C151:Z151))+AE151</f>
      </c>
      <c r="AB151" s="7">
        <v>0</v>
      </c>
      <c r="AC151" s="2">
        <f>MIN(3, SUMPRODUCT((MOD(Streak!C152:Z152,5)=0)*(MOD(Streak!C152:Z152,10)&lt;&gt;0)*(Streak!C152:Z152&gt;0))) * 5</f>
      </c>
      <c r="AD151" s="2">
        <f>MIN(2, SUMPRODUCT((MOD(Streak!C152:Z152,10)=0)*(Streak!C152:Z152&gt;0))) * 20</f>
      </c>
      <c r="AE151" s="3">
        <f>SUM(AC151:AD151)</f>
      </c>
    </row>
    <row customHeight="true" ht="19" r="152">
      <c r="A152" s="4"/>
      <c r="B152" s="5"/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6">
        <f>(SUM(C152:Z152))+AE152</f>
      </c>
      <c r="AB152" s="7">
        <v>0</v>
      </c>
      <c r="AC152" s="2">
        <f>MIN(3, SUMPRODUCT((MOD(Streak!C153:Z153,5)=0)*(MOD(Streak!C153:Z153,10)&lt;&gt;0)*(Streak!C153:Z153&gt;0))) * 5</f>
      </c>
      <c r="AD152" s="2">
        <f>MIN(2, SUMPRODUCT((MOD(Streak!C153:Z153,10)=0)*(Streak!C153:Z153&gt;0))) * 20</f>
      </c>
      <c r="AE152" s="3">
        <f>SUM(AC152:AD152)</f>
      </c>
    </row>
    <row customHeight="true" ht="19" r="153">
      <c r="A153" s="4"/>
      <c r="B153" s="5"/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6">
        <f>(SUM(C153:Z153))+AE153</f>
      </c>
      <c r="AB153" s="7">
        <v>0</v>
      </c>
      <c r="AC153" s="2">
        <f>MIN(3, SUMPRODUCT((MOD(Streak!C154:Z154,5)=0)*(MOD(Streak!C154:Z154,10)&lt;&gt;0)*(Streak!C154:Z154&gt;0))) * 5</f>
      </c>
      <c r="AD153" s="2">
        <f>MIN(2, SUMPRODUCT((MOD(Streak!C154:Z154,10)=0)*(Streak!C154:Z154&gt;0))) * 20</f>
      </c>
      <c r="AE153" s="3">
        <f>SUM(AC153:AD153)</f>
      </c>
    </row>
    <row customHeight="true" ht="19" r="154">
      <c r="A154" s="4"/>
      <c r="B154" s="5"/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6">
        <f>(SUM(C154:Z154))+AE154</f>
      </c>
      <c r="AB154" s="7">
        <v>0</v>
      </c>
      <c r="AC154" s="2">
        <f>MIN(3, SUMPRODUCT((MOD(Streak!C155:Z155,5)=0)*(MOD(Streak!C155:Z155,10)&lt;&gt;0)*(Streak!C155:Z155&gt;0))) * 5</f>
      </c>
      <c r="AD154" s="2">
        <f>MIN(2, SUMPRODUCT((MOD(Streak!C155:Z155,10)=0)*(Streak!C155:Z155&gt;0))) * 20</f>
      </c>
      <c r="AE154" s="3">
        <f>SUM(AC154:AD154)</f>
      </c>
    </row>
    <row customHeight="true" ht="19" r="155">
      <c r="A155" s="4"/>
      <c r="B155" s="5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6">
        <f>(SUM(C155:Z155))+AE155</f>
      </c>
      <c r="AB155" s="7">
        <v>0</v>
      </c>
      <c r="AC155" s="2">
        <f>MIN(3, SUMPRODUCT((MOD(Streak!C156:Z156,5)=0)*(MOD(Streak!C156:Z156,10)&lt;&gt;0)*(Streak!C156:Z156&gt;0))) * 5</f>
      </c>
      <c r="AD155" s="2">
        <f>MIN(2, SUMPRODUCT((MOD(Streak!C156:Z156,10)=0)*(Streak!C156:Z156&gt;0))) * 20</f>
      </c>
      <c r="AE155" s="3">
        <f>SUM(AC155:AD155)</f>
      </c>
    </row>
    <row customHeight="true" ht="19" r="156">
      <c r="A156" s="4"/>
      <c r="B156" s="5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6">
        <f>(SUM(C156:Z156))+AE156</f>
      </c>
      <c r="AB156" s="7">
        <v>0</v>
      </c>
      <c r="AC156" s="2">
        <f>MIN(3, SUMPRODUCT((MOD(Streak!C157:Z157,5)=0)*(MOD(Streak!C157:Z157,10)&lt;&gt;0)*(Streak!C157:Z157&gt;0))) * 5</f>
      </c>
      <c r="AD156" s="2">
        <f>MIN(2, SUMPRODUCT((MOD(Streak!C157:Z157,10)=0)*(Streak!C157:Z157&gt;0))) * 20</f>
      </c>
      <c r="AE156" s="3">
        <f>SUM(AC156:AD156)</f>
      </c>
    </row>
    <row customHeight="true" ht="19" r="157">
      <c r="A157" s="4"/>
      <c r="B157" s="5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6">
        <f>(SUM(C157:Z157))+AE157</f>
      </c>
      <c r="AB157" s="7">
        <v>0</v>
      </c>
      <c r="AC157" s="2">
        <f>MIN(3, SUMPRODUCT((MOD(Streak!C158:Z158,5)=0)*(MOD(Streak!C158:Z158,10)&lt;&gt;0)*(Streak!C158:Z158&gt;0))) * 5</f>
      </c>
      <c r="AD157" s="2">
        <f>MIN(2, SUMPRODUCT((MOD(Streak!C158:Z158,10)=0)*(Streak!C158:Z158&gt;0))) * 20</f>
      </c>
      <c r="AE157" s="3">
        <f>SUM(AC157:AD157)</f>
      </c>
    </row>
    <row customHeight="true" ht="19" r="158">
      <c r="A158" s="4"/>
      <c r="B158" s="5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6">
        <f>(SUM(C158:Z158))+AE158</f>
      </c>
      <c r="AB158" s="7">
        <v>0</v>
      </c>
      <c r="AC158" s="2">
        <f>MIN(3, SUMPRODUCT((MOD(Streak!C159:Z159,5)=0)*(MOD(Streak!C159:Z159,10)&lt;&gt;0)*(Streak!C159:Z159&gt;0))) * 5</f>
      </c>
      <c r="AD158" s="2">
        <f>MIN(2, SUMPRODUCT((MOD(Streak!C159:Z159,10)=0)*(Streak!C159:Z159&gt;0))) * 20</f>
      </c>
      <c r="AE158" s="3">
        <f>SUM(AC158:AD158)</f>
      </c>
    </row>
    <row customHeight="true" ht="19" r="159">
      <c r="A159" s="4"/>
      <c r="B159" s="5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6">
        <f>(SUM(C159:Z159))+AE159</f>
      </c>
      <c r="AB159" s="7">
        <v>0</v>
      </c>
      <c r="AC159" s="2">
        <f>MIN(3, SUMPRODUCT((MOD(Streak!C160:Z160,5)=0)*(MOD(Streak!C160:Z160,10)&lt;&gt;0)*(Streak!C160:Z160&gt;0))) * 5</f>
      </c>
      <c r="AD159" s="2">
        <f>MIN(2, SUMPRODUCT((MOD(Streak!C160:Z160,10)=0)*(Streak!C160:Z160&gt;0))) * 20</f>
      </c>
      <c r="AE159" s="3">
        <f>SUM(AC159:AD159)</f>
      </c>
    </row>
    <row customHeight="true" ht="19" r="160">
      <c r="A160" s="4"/>
      <c r="B160" s="5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6">
        <f>(SUM(C160:Z160))+AE160</f>
      </c>
      <c r="AB160" s="7">
        <v>0</v>
      </c>
      <c r="AC160" s="2">
        <f>MIN(3, SUMPRODUCT((MOD(Streak!C161:Z161,5)=0)*(MOD(Streak!C161:Z161,10)&lt;&gt;0)*(Streak!C161:Z161&gt;0))) * 5</f>
      </c>
      <c r="AD160" s="2">
        <f>MIN(2, SUMPRODUCT((MOD(Streak!C161:Z161,10)=0)*(Streak!C161:Z161&gt;0))) * 20</f>
      </c>
      <c r="AE160" s="3">
        <f>SUM(AC160:AD160)</f>
      </c>
    </row>
    <row customHeight="true" ht="19" r="161">
      <c r="A161" s="4"/>
      <c r="B161" s="5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6">
        <f>(SUM(C161:Z161))+AE161</f>
      </c>
      <c r="AB161" s="7">
        <v>0</v>
      </c>
      <c r="AC161" s="2">
        <f>MIN(3, SUMPRODUCT((MOD(Streak!C162:Z162,5)=0)*(MOD(Streak!C162:Z162,10)&lt;&gt;0)*(Streak!C162:Z162&gt;0))) * 5</f>
      </c>
      <c r="AD161" s="2">
        <f>MIN(2, SUMPRODUCT((MOD(Streak!C162:Z162,10)=0)*(Streak!C162:Z162&gt;0))) * 20</f>
      </c>
      <c r="AE161" s="3">
        <f>SUM(AC161:AD161)</f>
      </c>
    </row>
    <row customHeight="true" ht="19" r="162">
      <c r="A162" s="4"/>
      <c r="B162" s="5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6">
        <f>(SUM(C162:Z162))+AE162</f>
      </c>
      <c r="AB162" s="7">
        <v>0</v>
      </c>
      <c r="AC162" s="2">
        <f>MIN(3, SUMPRODUCT((MOD(Streak!C163:Z163,5)=0)*(MOD(Streak!C163:Z163,10)&lt;&gt;0)*(Streak!C163:Z163&gt;0))) * 5</f>
      </c>
      <c r="AD162" s="2">
        <f>MIN(2, SUMPRODUCT((MOD(Streak!C163:Z163,10)=0)*(Streak!C163:Z163&gt;0))) * 20</f>
      </c>
      <c r="AE162" s="3">
        <f>SUM(AC162:AD162)</f>
      </c>
    </row>
    <row customHeight="true" ht="19" r="163">
      <c r="A163" s="4"/>
      <c r="B163" s="5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6">
        <f>(SUM(C163:Z163))+AE163</f>
      </c>
      <c r="AB163" s="7">
        <v>0</v>
      </c>
      <c r="AC163" s="2">
        <f>MIN(3, SUMPRODUCT((MOD(Streak!C164:Z164,5)=0)*(MOD(Streak!C164:Z164,10)&lt;&gt;0)*(Streak!C164:Z164&gt;0))) * 5</f>
      </c>
      <c r="AD163" s="2">
        <f>MIN(2, SUMPRODUCT((MOD(Streak!C164:Z164,10)=0)*(Streak!C164:Z164&gt;0))) * 20</f>
      </c>
      <c r="AE163" s="3">
        <f>SUM(AC163:AD163)</f>
      </c>
    </row>
    <row customHeight="true" ht="19" r="164">
      <c r="A164" s="4"/>
      <c r="B164" s="5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6">
        <f>(SUM(C164:Z164))+AE164</f>
      </c>
      <c r="AB164" s="7">
        <v>0</v>
      </c>
      <c r="AC164" s="2">
        <f>MIN(3, SUMPRODUCT((MOD(Streak!C165:Z165,5)=0)*(MOD(Streak!C165:Z165,10)&lt;&gt;0)*(Streak!C165:Z165&gt;0))) * 5</f>
      </c>
      <c r="AD164" s="2">
        <f>MIN(2, SUMPRODUCT((MOD(Streak!C165:Z165,10)=0)*(Streak!C165:Z165&gt;0))) * 20</f>
      </c>
      <c r="AE164" s="3">
        <f>SUM(AC164:AD164)</f>
      </c>
    </row>
    <row customHeight="true" ht="19" r="165">
      <c r="A165" s="4"/>
      <c r="B165" s="5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6">
        <f>(SUM(C165:Z165))+AE165</f>
      </c>
      <c r="AB165" s="7">
        <v>0</v>
      </c>
      <c r="AC165" s="2">
        <f>MIN(3, SUMPRODUCT((MOD(Streak!C166:Z166,5)=0)*(MOD(Streak!C166:Z166,10)&lt;&gt;0)*(Streak!C166:Z166&gt;0))) * 5</f>
      </c>
      <c r="AD165" s="2">
        <f>MIN(2, SUMPRODUCT((MOD(Streak!C166:Z166,10)=0)*(Streak!C166:Z166&gt;0))) * 20</f>
      </c>
      <c r="AE165" s="3">
        <f>SUM(AC165:AD165)</f>
      </c>
    </row>
    <row customHeight="true" ht="19" r="166">
      <c r="A166" s="4"/>
      <c r="B166" s="5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6">
        <f>(SUM(C166:Z166))+AE166</f>
      </c>
      <c r="AB166" s="7">
        <v>0</v>
      </c>
      <c r="AC166" s="2">
        <f>MIN(3, SUMPRODUCT((MOD(Streak!C167:Z167,5)=0)*(MOD(Streak!C167:Z167,10)&lt;&gt;0)*(Streak!C167:Z167&gt;0))) * 5</f>
      </c>
      <c r="AD166" s="2">
        <f>MIN(2, SUMPRODUCT((MOD(Streak!C167:Z167,10)=0)*(Streak!C167:Z167&gt;0))) * 20</f>
      </c>
      <c r="AE166" s="3">
        <f>SUM(AC166:AD166)</f>
      </c>
    </row>
    <row customHeight="true" ht="19" r="167">
      <c r="A167" s="4"/>
      <c r="B167" s="5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6">
        <f>(SUM(C167:Z167))+AE167</f>
      </c>
      <c r="AB167" s="7">
        <v>0</v>
      </c>
      <c r="AC167" s="2">
        <f>MIN(3, SUMPRODUCT((MOD(Streak!C168:Z168,5)=0)*(MOD(Streak!C168:Z168,10)&lt;&gt;0)*(Streak!C168:Z168&gt;0))) * 5</f>
      </c>
      <c r="AD167" s="2">
        <f>MIN(2, SUMPRODUCT((MOD(Streak!C168:Z168,10)=0)*(Streak!C168:Z168&gt;0))) * 20</f>
      </c>
      <c r="AE167" s="3">
        <f>SUM(AC167:AD167)</f>
      </c>
    </row>
    <row customHeight="true" ht="19" r="168">
      <c r="A168" s="4"/>
      <c r="B168" s="5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6">
        <f>(SUM(C168:Z168))+AE168</f>
      </c>
      <c r="AB168" s="7">
        <v>0</v>
      </c>
      <c r="AC168" s="2">
        <f>MIN(3, SUMPRODUCT((MOD(Streak!C169:Z169,5)=0)*(MOD(Streak!C169:Z169,10)&lt;&gt;0)*(Streak!C169:Z169&gt;0))) * 5</f>
      </c>
      <c r="AD168" s="2">
        <f>MIN(2, SUMPRODUCT((MOD(Streak!C169:Z169,10)=0)*(Streak!C169:Z169&gt;0))) * 20</f>
      </c>
      <c r="AE168" s="3">
        <f>SUM(AC168:AD168)</f>
      </c>
    </row>
    <row customHeight="true" ht="19" r="169">
      <c r="A169" s="4"/>
      <c r="B169" s="5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6">
        <f>(SUM(C169:Z169))+AE169</f>
      </c>
      <c r="AB169" s="7">
        <v>0</v>
      </c>
      <c r="AC169" s="2">
        <f>MIN(3, SUMPRODUCT((MOD(Streak!C170:Z170,5)=0)*(MOD(Streak!C170:Z170,10)&lt;&gt;0)*(Streak!C170:Z170&gt;0))) * 5</f>
      </c>
      <c r="AD169" s="2">
        <f>MIN(2, SUMPRODUCT((MOD(Streak!C170:Z170,10)=0)*(Streak!C170:Z170&gt;0))) * 20</f>
      </c>
      <c r="AE169" s="3">
        <f>SUM(AC169:AD169)</f>
      </c>
    </row>
    <row customHeight="true" ht="19" r="170">
      <c r="A170" s="4"/>
      <c r="B170" s="5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6">
        <f>(SUM(C170:Z170))+AE170</f>
      </c>
      <c r="AB170" s="7">
        <v>0</v>
      </c>
      <c r="AC170" s="2">
        <f>MIN(3, SUMPRODUCT((MOD(Streak!C171:Z171,5)=0)*(MOD(Streak!C171:Z171,10)&lt;&gt;0)*(Streak!C171:Z171&gt;0))) * 5</f>
      </c>
      <c r="AD170" s="2">
        <f>MIN(2, SUMPRODUCT((MOD(Streak!C171:Z171,10)=0)*(Streak!C171:Z171&gt;0))) * 20</f>
      </c>
      <c r="AE170" s="3">
        <f>SUM(AC170:AD170)</f>
      </c>
    </row>
    <row customHeight="true" ht="19" r="171">
      <c r="A171" s="4"/>
      <c r="B171" s="5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6">
        <f>(SUM(C171:Z171))+AE171</f>
      </c>
      <c r="AB171" s="7">
        <v>0</v>
      </c>
      <c r="AC171" s="2">
        <f>MIN(3, SUMPRODUCT((MOD(Streak!C172:Z172,5)=0)*(MOD(Streak!C172:Z172,10)&lt;&gt;0)*(Streak!C172:Z172&gt;0))) * 5</f>
      </c>
      <c r="AD171" s="2">
        <f>MIN(2, SUMPRODUCT((MOD(Streak!C172:Z172,10)=0)*(Streak!C172:Z172&gt;0))) * 20</f>
      </c>
      <c r="AE171" s="3">
        <f>SUM(AC171:AD171)</f>
      </c>
    </row>
    <row customHeight="true" ht="19" r="172">
      <c r="A172" s="4"/>
      <c r="B172" s="5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6">
        <f>(SUM(C172:Z172))+AE172</f>
      </c>
      <c r="AB172" s="7">
        <v>0</v>
      </c>
      <c r="AC172" s="2">
        <f>MIN(3, SUMPRODUCT((MOD(Streak!C173:Z173,5)=0)*(MOD(Streak!C173:Z173,10)&lt;&gt;0)*(Streak!C173:Z173&gt;0))) * 5</f>
      </c>
      <c r="AD172" s="2">
        <f>MIN(2, SUMPRODUCT((MOD(Streak!C173:Z173,10)=0)*(Streak!C173:Z173&gt;0))) * 20</f>
      </c>
      <c r="AE172" s="3">
        <f>SUM(AC172:AD172)</f>
      </c>
    </row>
    <row customHeight="true" ht="19" r="173">
      <c r="A173" s="4"/>
      <c r="B173" s="5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6">
        <f>(SUM(C173:Z173))+AE173</f>
      </c>
      <c r="AB173" s="7">
        <v>0</v>
      </c>
      <c r="AC173" s="2">
        <f>MIN(3, SUMPRODUCT((MOD(Streak!C174:Z174,5)=0)*(MOD(Streak!C174:Z174,10)&lt;&gt;0)*(Streak!C174:Z174&gt;0))) * 5</f>
      </c>
      <c r="AD173" s="2">
        <f>MIN(2, SUMPRODUCT((MOD(Streak!C174:Z174,10)=0)*(Streak!C174:Z174&gt;0))) * 20</f>
      </c>
      <c r="AE173" s="3">
        <f>SUM(AC173:AD173)</f>
      </c>
    </row>
    <row customHeight="true" ht="19" r="174">
      <c r="A174" s="4"/>
      <c r="B174" s="5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6">
        <f>(SUM(C174:Z174))+AE174</f>
      </c>
      <c r="AB174" s="7">
        <v>0</v>
      </c>
      <c r="AC174" s="2">
        <f>MIN(3, SUMPRODUCT((MOD(Streak!C175:Z175,5)=0)*(MOD(Streak!C175:Z175,10)&lt;&gt;0)*(Streak!C175:Z175&gt;0))) * 5</f>
      </c>
      <c r="AD174" s="2">
        <f>MIN(2, SUMPRODUCT((MOD(Streak!C175:Z175,10)=0)*(Streak!C175:Z175&gt;0))) * 20</f>
      </c>
      <c r="AE174" s="3">
        <f>SUM(AC174:AD174)</f>
      </c>
    </row>
    <row customHeight="true" ht="19" r="175">
      <c r="A175" s="4"/>
      <c r="B175" s="5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6">
        <f>(SUM(C175:Z175))+AE175</f>
      </c>
      <c r="AB175" s="7">
        <v>0</v>
      </c>
      <c r="AC175" s="2">
        <f>MIN(3, SUMPRODUCT((MOD(Streak!C176:Z176,5)=0)*(MOD(Streak!C176:Z176,10)&lt;&gt;0)*(Streak!C176:Z176&gt;0))) * 5</f>
      </c>
      <c r="AD175" s="2">
        <f>MIN(2, SUMPRODUCT((MOD(Streak!C176:Z176,10)=0)*(Streak!C176:Z176&gt;0))) * 20</f>
      </c>
      <c r="AE175" s="3">
        <f>SUM(AC175:AD175)</f>
      </c>
    </row>
    <row customHeight="true" ht="19" r="176">
      <c r="A176" s="4"/>
      <c r="B176" s="5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6">
        <f>(SUM(C176:Z176))+AE176</f>
      </c>
      <c r="AB176" s="7">
        <v>0</v>
      </c>
      <c r="AC176" s="2">
        <f>MIN(3, SUMPRODUCT((MOD(Streak!C177:Z177,5)=0)*(MOD(Streak!C177:Z177,10)&lt;&gt;0)*(Streak!C177:Z177&gt;0))) * 5</f>
      </c>
      <c r="AD176" s="2">
        <f>MIN(2, SUMPRODUCT((MOD(Streak!C177:Z177,10)=0)*(Streak!C177:Z177&gt;0))) * 20</f>
      </c>
      <c r="AE176" s="3">
        <f>SUM(AC176:AD176)</f>
      </c>
    </row>
    <row customHeight="true" ht="19" r="177">
      <c r="A177" s="4"/>
      <c r="B177" s="5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6">
        <f>(SUM(C177:Z177))+AE177</f>
      </c>
      <c r="AB177" s="7">
        <v>0</v>
      </c>
      <c r="AC177" s="2">
        <f>MIN(3, SUMPRODUCT((MOD(Streak!C178:Z178,5)=0)*(MOD(Streak!C178:Z178,10)&lt;&gt;0)*(Streak!C178:Z178&gt;0))) * 5</f>
      </c>
      <c r="AD177" s="2">
        <f>MIN(2, SUMPRODUCT((MOD(Streak!C178:Z178,10)=0)*(Streak!C178:Z178&gt;0))) * 20</f>
      </c>
      <c r="AE177" s="3">
        <f>SUM(AC177:AD177)</f>
      </c>
    </row>
    <row customHeight="true" ht="19" r="178">
      <c r="A178" s="4"/>
      <c r="B178" s="5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6">
        <f>(SUM(C178:Z178))+AE178</f>
      </c>
      <c r="AB178" s="7">
        <v>0</v>
      </c>
      <c r="AC178" s="2">
        <f>MIN(3, SUMPRODUCT((MOD(Streak!C179:Z179,5)=0)*(MOD(Streak!C179:Z179,10)&lt;&gt;0)*(Streak!C179:Z179&gt;0))) * 5</f>
      </c>
      <c r="AD178" s="2">
        <f>MIN(2, SUMPRODUCT((MOD(Streak!C179:Z179,10)=0)*(Streak!C179:Z179&gt;0))) * 20</f>
      </c>
      <c r="AE178" s="3">
        <f>SUM(AC178:AD178)</f>
      </c>
    </row>
    <row customHeight="true" ht="19" r="179">
      <c r="A179" s="4"/>
      <c r="B179" s="5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6">
        <f>(SUM(C179:Z179))+AE179</f>
      </c>
      <c r="AB179" s="7">
        <v>0</v>
      </c>
      <c r="AC179" s="2">
        <f>MIN(3, SUMPRODUCT((MOD(Streak!C180:Z180,5)=0)*(MOD(Streak!C180:Z180,10)&lt;&gt;0)*(Streak!C180:Z180&gt;0))) * 5</f>
      </c>
      <c r="AD179" s="2">
        <f>MIN(2, SUMPRODUCT((MOD(Streak!C180:Z180,10)=0)*(Streak!C180:Z180&gt;0))) * 20</f>
      </c>
      <c r="AE179" s="3">
        <f>SUM(AC179:AD179)</f>
      </c>
    </row>
    <row customHeight="true" ht="19" r="180">
      <c r="A180" s="4"/>
      <c r="B180" s="5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6">
        <f>(SUM(C180:Z180))+AE180</f>
      </c>
      <c r="AB180" s="7">
        <v>0</v>
      </c>
      <c r="AC180" s="2">
        <f>MIN(3, SUMPRODUCT((MOD(Streak!C181:Z181,5)=0)*(MOD(Streak!C181:Z181,10)&lt;&gt;0)*(Streak!C181:Z181&gt;0))) * 5</f>
      </c>
      <c r="AD180" s="2">
        <f>MIN(2, SUMPRODUCT((MOD(Streak!C181:Z181,10)=0)*(Streak!C181:Z181&gt;0))) * 20</f>
      </c>
      <c r="AE180" s="3">
        <f>SUM(AC180:AD180)</f>
      </c>
    </row>
    <row customHeight="true" ht="19" r="181">
      <c r="A181" s="4"/>
      <c r="B181" s="5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6">
        <f>(SUM(C181:Z181))+AE181</f>
      </c>
      <c r="AB181" s="7">
        <v>0</v>
      </c>
      <c r="AC181" s="2">
        <f>MIN(3, SUMPRODUCT((MOD(Streak!C182:Z182,5)=0)*(MOD(Streak!C182:Z182,10)&lt;&gt;0)*(Streak!C182:Z182&gt;0))) * 5</f>
      </c>
      <c r="AD181" s="2">
        <f>MIN(2, SUMPRODUCT((MOD(Streak!C182:Z182,10)=0)*(Streak!C182:Z182&gt;0))) * 20</f>
      </c>
      <c r="AE181" s="3">
        <f>SUM(AC181:AD181)</f>
      </c>
    </row>
    <row customHeight="true" ht="19" r="182">
      <c r="A182" s="4"/>
      <c r="B182" s="5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6">
        <f>(SUM(C182:Z182))+AE182</f>
      </c>
      <c r="AB182" s="7">
        <v>0</v>
      </c>
      <c r="AC182" s="2">
        <f>MIN(3, SUMPRODUCT((MOD(Streak!C183:Z183,5)=0)*(MOD(Streak!C183:Z183,10)&lt;&gt;0)*(Streak!C183:Z183&gt;0))) * 5</f>
      </c>
      <c r="AD182" s="2">
        <f>MIN(2, SUMPRODUCT((MOD(Streak!C183:Z183,10)=0)*(Streak!C183:Z183&gt;0))) * 20</f>
      </c>
      <c r="AE182" s="3">
        <f>SUM(AC182:AD182)</f>
      </c>
    </row>
    <row customHeight="true" ht="19" r="183">
      <c r="A183" s="4"/>
      <c r="B183" s="5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6">
        <f>(SUM(C183:Z183))+AE183</f>
      </c>
      <c r="AB183" s="7">
        <v>0</v>
      </c>
      <c r="AC183" s="2">
        <f>MIN(3, SUMPRODUCT((MOD(Streak!C184:Z184,5)=0)*(MOD(Streak!C184:Z184,10)&lt;&gt;0)*(Streak!C184:Z184&gt;0))) * 5</f>
      </c>
      <c r="AD183" s="2">
        <f>MIN(2, SUMPRODUCT((MOD(Streak!C184:Z184,10)=0)*(Streak!C184:Z184&gt;0))) * 20</f>
      </c>
      <c r="AE183" s="3">
        <f>SUM(AC183:AD183)</f>
      </c>
    </row>
    <row customHeight="true" ht="19" r="184">
      <c r="A184" s="4"/>
      <c r="B184" s="5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6">
        <f>(SUM(C184:Z184))+AE184</f>
      </c>
      <c r="AB184" s="7">
        <v>0</v>
      </c>
      <c r="AC184" s="2">
        <f>MIN(3, SUMPRODUCT((MOD(Streak!C185:Z185,5)=0)*(MOD(Streak!C185:Z185,10)&lt;&gt;0)*(Streak!C185:Z185&gt;0))) * 5</f>
      </c>
      <c r="AD184" s="2">
        <f>MIN(2, SUMPRODUCT((MOD(Streak!C185:Z185,10)=0)*(Streak!C185:Z185&gt;0))) * 20</f>
      </c>
      <c r="AE184" s="3">
        <f>SUM(AC184:AD184)</f>
      </c>
    </row>
    <row customHeight="true" ht="19" r="185">
      <c r="A185" s="4"/>
      <c r="B185" s="5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6">
        <f>(SUM(C185:Z185))+AE185</f>
      </c>
      <c r="AB185" s="7">
        <v>0</v>
      </c>
      <c r="AC185" s="2">
        <f>MIN(3, SUMPRODUCT((MOD(Streak!C186:Z186,5)=0)*(MOD(Streak!C186:Z186,10)&lt;&gt;0)*(Streak!C186:Z186&gt;0))) * 5</f>
      </c>
      <c r="AD185" s="2">
        <f>MIN(2, SUMPRODUCT((MOD(Streak!C186:Z186,10)=0)*(Streak!C186:Z186&gt;0))) * 20</f>
      </c>
      <c r="AE185" s="3">
        <f>SUM(AC185:AD185)</f>
      </c>
    </row>
    <row customHeight="true" ht="19" r="186">
      <c r="A186" s="4"/>
      <c r="B186" s="5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6">
        <f>(SUM(C186:Z186))+AE186</f>
      </c>
      <c r="AB186" s="7">
        <v>0</v>
      </c>
      <c r="AC186" s="2">
        <f>MIN(3, SUMPRODUCT((MOD(Streak!C187:Z187,5)=0)*(MOD(Streak!C187:Z187,10)&lt;&gt;0)*(Streak!C187:Z187&gt;0))) * 5</f>
      </c>
      <c r="AD186" s="2">
        <f>MIN(2, SUMPRODUCT((MOD(Streak!C187:Z187,10)=0)*(Streak!C187:Z187&gt;0))) * 20</f>
      </c>
      <c r="AE186" s="3">
        <f>SUM(AC186:AD186)</f>
      </c>
    </row>
    <row customHeight="true" ht="19" r="187">
      <c r="A187" s="4"/>
      <c r="B187" s="5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6">
        <f>(SUM(C187:Z187))+AE187</f>
      </c>
      <c r="AB187" s="7">
        <v>0</v>
      </c>
      <c r="AC187" s="2">
        <f>MIN(3, SUMPRODUCT((MOD(Streak!C188:Z188,5)=0)*(MOD(Streak!C188:Z188,10)&lt;&gt;0)*(Streak!C188:Z188&gt;0))) * 5</f>
      </c>
      <c r="AD187" s="2">
        <f>MIN(2, SUMPRODUCT((MOD(Streak!C188:Z188,10)=0)*(Streak!C188:Z188&gt;0))) * 20</f>
      </c>
      <c r="AE187" s="3">
        <f>SUM(AC187:AD187)</f>
      </c>
    </row>
    <row customHeight="true" ht="19" r="188">
      <c r="A188" s="4"/>
      <c r="B188" s="5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6">
        <f>(SUM(C188:Z188))+AE188</f>
      </c>
      <c r="AB188" s="7">
        <v>0</v>
      </c>
      <c r="AC188" s="2">
        <f>MIN(3, SUMPRODUCT((MOD(Streak!C189:Z189,5)=0)*(MOD(Streak!C189:Z189,10)&lt;&gt;0)*(Streak!C189:Z189&gt;0))) * 5</f>
      </c>
      <c r="AD188" s="2">
        <f>MIN(2, SUMPRODUCT((MOD(Streak!C189:Z189,10)=0)*(Streak!C189:Z189&gt;0))) * 20</f>
      </c>
      <c r="AE188" s="3">
        <f>SUM(AC188:AD188)</f>
      </c>
    </row>
    <row customHeight="true" ht="19" r="189">
      <c r="A189" s="4"/>
      <c r="B189" s="5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6">
        <f>(SUM(C189:Z189))+AE189</f>
      </c>
      <c r="AB189" s="7">
        <v>0</v>
      </c>
      <c r="AC189" s="2">
        <f>MIN(3, SUMPRODUCT((MOD(Streak!C190:Z190,5)=0)*(MOD(Streak!C190:Z190,10)&lt;&gt;0)*(Streak!C190:Z190&gt;0))) * 5</f>
      </c>
      <c r="AD189" s="2">
        <f>MIN(2, SUMPRODUCT((MOD(Streak!C190:Z190,10)=0)*(Streak!C190:Z190&gt;0))) * 20</f>
      </c>
      <c r="AE189" s="3">
        <f>SUM(AC189:AD189)</f>
      </c>
    </row>
    <row customHeight="true" ht="19" r="190">
      <c r="A190" s="4"/>
      <c r="B190" s="5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6">
        <f>(SUM(C190:Z190))+AE190</f>
      </c>
      <c r="AB190" s="7">
        <v>0</v>
      </c>
      <c r="AC190" s="2">
        <f>MIN(3, SUMPRODUCT((MOD(Streak!C191:Z191,5)=0)*(MOD(Streak!C191:Z191,10)&lt;&gt;0)*(Streak!C191:Z191&gt;0))) * 5</f>
      </c>
      <c r="AD190" s="2">
        <f>MIN(2, SUMPRODUCT((MOD(Streak!C191:Z191,10)=0)*(Streak!C191:Z191&gt;0))) * 20</f>
      </c>
      <c r="AE190" s="3">
        <f>SUM(AC190:AD190)</f>
      </c>
    </row>
    <row customHeight="true" ht="19" r="191">
      <c r="A191" s="4"/>
      <c r="B191" s="5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6">
        <f>(SUM(C191:Z191))+AE191</f>
      </c>
      <c r="AB191" s="7">
        <v>0</v>
      </c>
      <c r="AC191" s="2">
        <f>MIN(3, SUMPRODUCT((MOD(Streak!C192:Z192,5)=0)*(MOD(Streak!C192:Z192,10)&lt;&gt;0)*(Streak!C192:Z192&gt;0))) * 5</f>
      </c>
      <c r="AD191" s="2">
        <f>MIN(2, SUMPRODUCT((MOD(Streak!C192:Z192,10)=0)*(Streak!C192:Z192&gt;0))) * 20</f>
      </c>
      <c r="AE191" s="3">
        <f>SUM(AC191:AD191)</f>
      </c>
    </row>
    <row customHeight="true" ht="19" r="192">
      <c r="A192" s="4"/>
      <c r="B192" s="5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6">
        <f>(SUM(C192:Z192))+AE192</f>
      </c>
      <c r="AB192" s="7">
        <v>0</v>
      </c>
      <c r="AC192" s="2">
        <f>MIN(3, SUMPRODUCT((MOD(Streak!C193:Z193,5)=0)*(MOD(Streak!C193:Z193,10)&lt;&gt;0)*(Streak!C193:Z193&gt;0))) * 5</f>
      </c>
      <c r="AD192" s="2">
        <f>MIN(2, SUMPRODUCT((MOD(Streak!C193:Z193,10)=0)*(Streak!C193:Z193&gt;0))) * 20</f>
      </c>
      <c r="AE192" s="3">
        <f>SUM(AC192:AD192)</f>
      </c>
    </row>
    <row customHeight="true" ht="19" r="193">
      <c r="A193" s="4"/>
      <c r="B193" s="5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6">
        <f>(SUM(C193:Z193))+AE193</f>
      </c>
      <c r="AB193" s="7">
        <v>0</v>
      </c>
      <c r="AC193" s="2">
        <f>MIN(3, SUMPRODUCT((MOD(Streak!C194:Z194,5)=0)*(MOD(Streak!C194:Z194,10)&lt;&gt;0)*(Streak!C194:Z194&gt;0))) * 5</f>
      </c>
      <c r="AD193" s="2">
        <f>MIN(2, SUMPRODUCT((MOD(Streak!C194:Z194,10)=0)*(Streak!C194:Z194&gt;0))) * 20</f>
      </c>
      <c r="AE193" s="3">
        <f>SUM(AC193:AD193)</f>
      </c>
    </row>
    <row customHeight="true" ht="19" r="194">
      <c r="A194" s="4"/>
      <c r="B194" s="5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6">
        <f>(SUM(C194:Z194))+AE194</f>
      </c>
      <c r="AB194" s="7">
        <v>0</v>
      </c>
      <c r="AC194" s="2">
        <f>MIN(3, SUMPRODUCT((MOD(Streak!C195:Z195,5)=0)*(MOD(Streak!C195:Z195,10)&lt;&gt;0)*(Streak!C195:Z195&gt;0))) * 5</f>
      </c>
      <c r="AD194" s="2">
        <f>MIN(2, SUMPRODUCT((MOD(Streak!C195:Z195,10)=0)*(Streak!C195:Z195&gt;0))) * 20</f>
      </c>
      <c r="AE194" s="3">
        <f>SUM(AC194:AD194)</f>
      </c>
    </row>
    <row customHeight="true" ht="19" r="195">
      <c r="A195" s="4"/>
      <c r="B195" s="5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6">
        <f>(SUM(C195:Z195))+AE195</f>
      </c>
      <c r="AB195" s="7">
        <v>0</v>
      </c>
      <c r="AC195" s="2">
        <f>MIN(3, SUMPRODUCT((MOD(Streak!C196:Z196,5)=0)*(MOD(Streak!C196:Z196,10)&lt;&gt;0)*(Streak!C196:Z196&gt;0))) * 5</f>
      </c>
      <c r="AD195" s="2">
        <f>MIN(2, SUMPRODUCT((MOD(Streak!C196:Z196,10)=0)*(Streak!C196:Z196&gt;0))) * 20</f>
      </c>
      <c r="AE195" s="3">
        <f>SUM(AC195:AD195)</f>
      </c>
    </row>
    <row customHeight="true" ht="19" r="196">
      <c r="A196" s="4"/>
      <c r="B196" s="5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6">
        <f>(SUM(C196:Z196))+AE196</f>
      </c>
      <c r="AB196" s="7">
        <v>0</v>
      </c>
      <c r="AC196" s="2">
        <f>MIN(3, SUMPRODUCT((MOD(Streak!C197:Z197,5)=0)*(MOD(Streak!C197:Z197,10)&lt;&gt;0)*(Streak!C197:Z197&gt;0))) * 5</f>
      </c>
      <c r="AD196" s="2">
        <f>MIN(2, SUMPRODUCT((MOD(Streak!C197:Z197,10)=0)*(Streak!C197:Z197&gt;0))) * 20</f>
      </c>
      <c r="AE196" s="3">
        <f>SUM(AC196:AD196)</f>
      </c>
    </row>
    <row customHeight="true" ht="19" r="197">
      <c r="A197" s="4"/>
      <c r="B197" s="5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6">
        <f>(SUM(C197:Z197))+AE197</f>
      </c>
      <c r="AB197" s="7">
        <v>0</v>
      </c>
      <c r="AC197" s="2">
        <f>MIN(3, SUMPRODUCT((MOD(Streak!C198:Z198,5)=0)*(MOD(Streak!C198:Z198,10)&lt;&gt;0)*(Streak!C198:Z198&gt;0))) * 5</f>
      </c>
      <c r="AD197" s="2">
        <f>MIN(2, SUMPRODUCT((MOD(Streak!C198:Z198,10)=0)*(Streak!C198:Z198&gt;0))) * 20</f>
      </c>
      <c r="AE197" s="3">
        <f>SUM(AC197:AD197)</f>
      </c>
    </row>
    <row customHeight="true" ht="19" r="198">
      <c r="A198" s="4"/>
      <c r="B198" s="5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6">
        <f>(SUM(C198:Z198))+AE198</f>
      </c>
      <c r="AB198" s="7">
        <v>0</v>
      </c>
      <c r="AC198" s="2">
        <f>MIN(3, SUMPRODUCT((MOD(Streak!C199:Z199,5)=0)*(MOD(Streak!C199:Z199,10)&lt;&gt;0)*(Streak!C199:Z199&gt;0))) * 5</f>
      </c>
      <c r="AD198" s="2">
        <f>MIN(2, SUMPRODUCT((MOD(Streak!C199:Z199,10)=0)*(Streak!C199:Z199&gt;0))) * 20</f>
      </c>
      <c r="AE198" s="3">
        <f>SUM(AC198:AD198)</f>
      </c>
    </row>
    <row customHeight="true" ht="19" r="199">
      <c r="A199" s="4"/>
      <c r="B199" s="5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6">
        <f>(SUM(C199:Z199))+AE199</f>
      </c>
      <c r="AB199" s="7">
        <v>0</v>
      </c>
      <c r="AC199" s="2">
        <f>MIN(3, SUMPRODUCT((MOD(Streak!C200:Z200,5)=0)*(MOD(Streak!C200:Z200,10)&lt;&gt;0)*(Streak!C200:Z200&gt;0))) * 5</f>
      </c>
      <c r="AD199" s="2">
        <f>MIN(2, SUMPRODUCT((MOD(Streak!C200:Z200,10)=0)*(Streak!C200:Z200&gt;0))) * 20</f>
      </c>
      <c r="AE199" s="3">
        <f>SUM(AC199:AD199)</f>
      </c>
    </row>
    <row customHeight="true" ht="19" r="200">
      <c r="A200" s="4"/>
      <c r="B200" s="5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6">
        <f>(SUM(C200:Z200))+AE200</f>
      </c>
      <c r="AB200" s="7">
        <v>0</v>
      </c>
      <c r="AC200" s="2">
        <f>MIN(3, SUMPRODUCT((MOD(Streak!C201:Z201,5)=0)*(MOD(Streak!C201:Z201,10)&lt;&gt;0)*(Streak!C201:Z201&gt;0))) * 5</f>
      </c>
      <c r="AD200" s="2">
        <f>MIN(2, SUMPRODUCT((MOD(Streak!C201:Z201,10)=0)*(Streak!C201:Z201&gt;0))) * 20</f>
      </c>
      <c r="AE200" s="3">
        <f>SUM(AC200:AD200)</f>
      </c>
    </row>
    <row customHeight="true" ht="19" r="201">
      <c r="A201" s="4"/>
      <c r="B201" s="5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6">
        <f>(SUM(C201:Z201))+AE201</f>
      </c>
      <c r="AB201" s="7">
        <v>0</v>
      </c>
      <c r="AC201" s="2">
        <f>MIN(3, SUMPRODUCT((MOD(Streak!C202:Z202,5)=0)*(MOD(Streak!C202:Z202,10)&lt;&gt;0)*(Streak!C202:Z202&gt;0))) * 5</f>
      </c>
      <c r="AD201" s="2">
        <f>MIN(2, SUMPRODUCT((MOD(Streak!C202:Z202,10)=0)*(Streak!C202:Z202&gt;0))) * 20</f>
      </c>
      <c r="AE201" s="3">
        <f>SUM(AC201:AD201)</f>
      </c>
    </row>
    <row customHeight="true" ht="19" r="202">
      <c r="A202" s="4"/>
      <c r="B202" s="5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6">
        <f>(SUM(C202:Z202))+AE202</f>
      </c>
      <c r="AB202" s="7">
        <v>0</v>
      </c>
      <c r="AC202" s="2">
        <f>MIN(3, SUMPRODUCT((MOD(Streak!C203:Z203,5)=0)*(MOD(Streak!C203:Z203,10)&lt;&gt;0)*(Streak!C203:Z203&gt;0))) * 5</f>
      </c>
      <c r="AD202" s="2">
        <f>MIN(2, SUMPRODUCT((MOD(Streak!C203:Z203,10)=0)*(Streak!C203:Z203&gt;0))) * 20</f>
      </c>
      <c r="AE202" s="3">
        <f>SUM(AC202:AD202)</f>
      </c>
    </row>
    <row customHeight="true" ht="19" r="203">
      <c r="A203" s="4"/>
      <c r="B203" s="5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6">
        <f>(SUM(C203:Z203))+AE203</f>
      </c>
      <c r="AB203" s="7">
        <v>0</v>
      </c>
      <c r="AC203" s="2">
        <f>MIN(3, SUMPRODUCT((MOD(Streak!C204:Z204,5)=0)*(MOD(Streak!C204:Z204,10)&lt;&gt;0)*(Streak!C204:Z204&gt;0))) * 5</f>
      </c>
      <c r="AD203" s="2">
        <f>MIN(2, SUMPRODUCT((MOD(Streak!C204:Z204,10)=0)*(Streak!C204:Z204&gt;0))) * 20</f>
      </c>
      <c r="AE203" s="3">
        <f>SUM(AC203:AD203)</f>
      </c>
    </row>
    <row customHeight="true" ht="19" r="204">
      <c r="A204" s="4"/>
      <c r="B204" s="5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6">
        <f>(SUM(C204:Z204))+AE204</f>
      </c>
      <c r="AB204" s="7">
        <v>0</v>
      </c>
      <c r="AC204" s="2">
        <f>MIN(3, SUMPRODUCT((MOD(Streak!C205:Z205,5)=0)*(MOD(Streak!C205:Z205,10)&lt;&gt;0)*(Streak!C205:Z205&gt;0))) * 5</f>
      </c>
      <c r="AD204" s="2">
        <f>MIN(2, SUMPRODUCT((MOD(Streak!C205:Z205,10)=0)*(Streak!C205:Z205&gt;0))) * 20</f>
      </c>
      <c r="AE204" s="3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4" t="str">
        <v>MEMBER</v>
      </c>
      <c r="B2" s="14"/>
      <c r="C2" s="12">
        <v>46111</v>
      </c>
      <c r="D2" s="12">
        <v>46112</v>
      </c>
      <c r="E2" s="12">
        <v>46113</v>
      </c>
      <c r="F2" s="12">
        <v>46114</v>
      </c>
      <c r="G2" s="12">
        <v>46115</v>
      </c>
      <c r="H2" s="12">
        <v>46118</v>
      </c>
      <c r="I2" s="12">
        <v>46119</v>
      </c>
      <c r="J2" s="12">
        <v>46120</v>
      </c>
      <c r="K2" s="12">
        <v>46121</v>
      </c>
      <c r="L2" s="12">
        <v>46122</v>
      </c>
      <c r="M2" s="12">
        <v>46125</v>
      </c>
      <c r="N2" s="12">
        <v>46126</v>
      </c>
      <c r="O2" s="12">
        <v>46127</v>
      </c>
      <c r="P2" s="12">
        <v>46128</v>
      </c>
      <c r="Q2" s="12">
        <v>46129</v>
      </c>
      <c r="R2" s="12">
        <v>46132</v>
      </c>
      <c r="S2" s="12">
        <v>46133</v>
      </c>
      <c r="T2" s="12">
        <v>46134</v>
      </c>
      <c r="U2" s="12">
        <v>46135</v>
      </c>
      <c r="V2" s="12">
        <v>46136</v>
      </c>
      <c r="W2" s="12">
        <v>46139</v>
      </c>
      <c r="X2" s="12">
        <v>46140</v>
      </c>
      <c r="Y2" s="12">
        <v>46141</v>
      </c>
      <c r="Z2" s="12">
        <v>46142</v>
      </c>
      <c r="AA2" s="15" t="str">
        <v>Total
Tiket</v>
      </c>
    </row>
    <row r="3">
      <c r="A3" s="14"/>
      <c r="B3" s="14"/>
      <c r="C3" s="20" t="str">
        <v>Sen</v>
      </c>
      <c r="D3" s="20" t="str">
        <v>Sel</v>
      </c>
      <c r="E3" s="20" t="str">
        <v>Rab</v>
      </c>
      <c r="F3" s="20" t="str">
        <v>Kam</v>
      </c>
      <c r="G3" s="20" t="str">
        <v>Jum</v>
      </c>
      <c r="H3" s="20" t="str">
        <v>Sen</v>
      </c>
      <c r="I3" s="20" t="str">
        <v>Sel</v>
      </c>
      <c r="J3" s="20" t="str">
        <v>Rab</v>
      </c>
      <c r="K3" s="20" t="str">
        <v>Kam</v>
      </c>
      <c r="L3" s="20" t="str">
        <v>Jum</v>
      </c>
      <c r="M3" s="20" t="str">
        <v>Sen</v>
      </c>
      <c r="N3" s="20" t="str">
        <v>Sel</v>
      </c>
      <c r="O3" s="20" t="str">
        <v>Rab</v>
      </c>
      <c r="P3" s="20" t="str">
        <v>Kam</v>
      </c>
      <c r="Q3" s="20" t="str">
        <v>Jum</v>
      </c>
      <c r="R3" s="20" t="str">
        <v>Sen</v>
      </c>
      <c r="S3" s="20" t="str">
        <v>Sel</v>
      </c>
      <c r="T3" s="20" t="str">
        <v>Rab</v>
      </c>
      <c r="U3" s="20" t="str">
        <v>Kam</v>
      </c>
      <c r="V3" s="20" t="str">
        <v>Jum</v>
      </c>
      <c r="W3" s="20" t="str">
        <v>Sen</v>
      </c>
      <c r="X3" s="20" t="str">
        <v>Sel</v>
      </c>
      <c r="Y3" s="20" t="str">
        <v>Rab</v>
      </c>
      <c r="Z3" s="20" t="str">
        <v>Kam</v>
      </c>
      <c r="AA3" s="15"/>
    </row>
    <row r="4">
      <c r="A4" s="18" t="str">
        <v>
</v>
      </c>
      <c r="B4" s="19" t="str">
        <v>TOTAL</v>
      </c>
      <c r="C4" s="29">
        <f>SUM(C5:C64)</f>
      </c>
      <c r="D4" s="17">
        <f>SUM(D5:D64)</f>
      </c>
      <c r="E4" s="17">
        <f>SUM(E5:E64)</f>
      </c>
      <c r="F4" s="17">
        <f>SUM(F5:F64)</f>
      </c>
      <c r="G4" s="17">
        <f>SUM(G5:G64)</f>
      </c>
      <c r="H4" s="17">
        <f>SUM(H5:H64)</f>
      </c>
      <c r="I4" s="17">
        <f>SUM(I5:I64)</f>
      </c>
      <c r="J4" s="17">
        <f>SUM(J5:J64)</f>
      </c>
      <c r="K4" s="17">
        <f>SUM(K5:K64)</f>
      </c>
      <c r="L4" s="17">
        <f>SUM(L5:L64)</f>
      </c>
      <c r="M4" s="17">
        <f>SUM(M5:M64)</f>
      </c>
      <c r="N4" s="17">
        <f>SUM(N5:N64)</f>
      </c>
      <c r="O4" s="17">
        <f>SUM(O5:O64)</f>
      </c>
      <c r="P4" s="17">
        <f>SUM(P5:P64)</f>
      </c>
      <c r="Q4" s="17">
        <f>SUM(Q5:Q64)</f>
      </c>
      <c r="R4" s="17">
        <f>SUM(R5:R64)</f>
      </c>
      <c r="S4" s="17">
        <f>SUM(S5:S64)</f>
      </c>
      <c r="T4" s="17">
        <f>SUM(T5:T64)</f>
      </c>
      <c r="U4" s="17">
        <f>SUM(U5:U64)</f>
      </c>
      <c r="V4" s="17">
        <f>SUM(V5:V64)</f>
      </c>
      <c r="W4" s="17">
        <f>SUM(W5:W64)</f>
      </c>
      <c r="X4" s="17">
        <f>SUM(X5:X64)</f>
      </c>
      <c r="Y4" s="17">
        <f>SUM(Y5:Y64)</f>
      </c>
      <c r="Z4" s="17">
        <f>SUM(Z5:Z64)</f>
      </c>
      <c r="AA4" s="17">
        <f>SUM(AA5:AA64)</f>
      </c>
    </row>
    <row r="5">
      <c r="A5" s="27">
        <f>'List Ticket'!A5</f>
      </c>
      <c r="B5" s="27">
        <f>'List Ticket'!B5</f>
      </c>
      <c r="C5" s="27">
        <f>IF('List Ticket'!C5=1, 1, 0)</f>
      </c>
      <c r="D5" s="26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8">
        <f>SUM(C5:Z5)</f>
      </c>
    </row>
    <row r="6">
      <c r="A6" s="27">
        <f>'List Ticket'!A6</f>
      </c>
      <c r="B6" s="27">
        <f>'List Ticket'!B6</f>
      </c>
      <c r="C6" s="27">
        <f>IF('List Ticket'!C6=1, 1, 0)</f>
      </c>
      <c r="D6" s="26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8">
        <f>SUM(C6:Z6)</f>
      </c>
    </row>
    <row r="7">
      <c r="A7" s="27">
        <f>'List Ticket'!A7</f>
      </c>
      <c r="B7" s="27">
        <f>'List Ticket'!B7</f>
      </c>
      <c r="C7" s="27">
        <f>IF('List Ticket'!C7=1, 1, 0)</f>
      </c>
      <c r="D7" s="26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8">
        <f>SUM(C7:Z7)</f>
      </c>
    </row>
    <row r="8">
      <c r="A8" s="27">
        <f>'List Ticket'!A8</f>
      </c>
      <c r="B8" s="27">
        <f>'List Ticket'!B8</f>
      </c>
      <c r="C8" s="27">
        <f>IF('List Ticket'!C8=1, 1, 0)</f>
      </c>
      <c r="D8" s="26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8">
        <f>SUM(C8:Z8)</f>
      </c>
    </row>
    <row r="9">
      <c r="A9" s="27">
        <f>'List Ticket'!A9</f>
      </c>
      <c r="B9" s="27">
        <f>'List Ticket'!B9</f>
      </c>
      <c r="C9" s="27">
        <f>IF('List Ticket'!C9=1, 1, 0)</f>
      </c>
      <c r="D9" s="26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8">
        <f>SUM(C9:Z9)</f>
      </c>
    </row>
    <row r="10">
      <c r="A10" s="27">
        <f>'List Ticket'!A10</f>
      </c>
      <c r="B10" s="27">
        <f>'List Ticket'!B10</f>
      </c>
      <c r="C10" s="27">
        <f>IF('List Ticket'!C10=1, 1, 0)</f>
      </c>
      <c r="D10" s="26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8">
        <f>SUM(C10:Z10)</f>
      </c>
    </row>
    <row r="11">
      <c r="A11" s="27">
        <f>'List Ticket'!A11</f>
      </c>
      <c r="B11" s="27">
        <f>'List Ticket'!B11</f>
      </c>
      <c r="C11" s="27">
        <f>IF('List Ticket'!C11=1, 1, 0)</f>
      </c>
      <c r="D11" s="26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8">
        <f>SUM(C11:Z11)</f>
      </c>
    </row>
    <row r="12">
      <c r="A12" s="27">
        <f>'List Ticket'!A12</f>
      </c>
      <c r="B12" s="27">
        <f>'List Ticket'!B12</f>
      </c>
      <c r="C12" s="27">
        <f>IF('List Ticket'!C12=1, 1, 0)</f>
      </c>
      <c r="D12" s="26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8">
        <f>SUM(C12:Z12)</f>
      </c>
    </row>
    <row r="13">
      <c r="A13" s="27">
        <f>'List Ticket'!A13</f>
      </c>
      <c r="B13" s="27">
        <f>'List Ticket'!B13</f>
      </c>
      <c r="C13" s="27">
        <f>IF('List Ticket'!C13=1, 1, 0)</f>
      </c>
      <c r="D13" s="26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8">
        <f>SUM(C13:Z13)</f>
      </c>
    </row>
    <row r="14">
      <c r="A14" s="27">
        <f>'List Ticket'!A14</f>
      </c>
      <c r="B14" s="27">
        <f>'List Ticket'!B14</f>
      </c>
      <c r="C14" s="27">
        <f>IF('List Ticket'!C14=1, 1, 0)</f>
      </c>
      <c r="D14" s="26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8">
        <f>SUM(C14:Z14)</f>
      </c>
    </row>
    <row r="15">
      <c r="A15" s="27">
        <f>'List Ticket'!A15</f>
      </c>
      <c r="B15" s="27">
        <f>'List Ticket'!B15</f>
      </c>
      <c r="C15" s="27">
        <f>IF('List Ticket'!C15=1, 1, 0)</f>
      </c>
      <c r="D15" s="26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8">
        <f>SUM(C15:Z15)</f>
      </c>
    </row>
    <row r="16">
      <c r="A16" s="27">
        <f>'List Ticket'!A16</f>
      </c>
      <c r="B16" s="27">
        <f>'List Ticket'!B16</f>
      </c>
      <c r="C16" s="27">
        <f>IF('List Ticket'!C16=1, 1, 0)</f>
      </c>
      <c r="D16" s="26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8">
        <f>SUM(C16:Z16)</f>
      </c>
    </row>
    <row r="17">
      <c r="A17" s="27">
        <f>'List Ticket'!A17</f>
      </c>
      <c r="B17" s="27">
        <f>'List Ticket'!B17</f>
      </c>
      <c r="C17" s="27">
        <f>IF('List Ticket'!C17=1, 1, 0)</f>
      </c>
      <c r="D17" s="26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8">
        <f>SUM(C17:Z17)</f>
      </c>
    </row>
    <row r="18">
      <c r="A18" s="27">
        <f>'List Ticket'!A18</f>
      </c>
      <c r="B18" s="27">
        <f>'List Ticket'!B18</f>
      </c>
      <c r="C18" s="27">
        <f>IF('List Ticket'!C18=1, 1, 0)</f>
      </c>
      <c r="D18" s="26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8">
        <f>SUM(C18:Z18)</f>
      </c>
    </row>
    <row r="19">
      <c r="A19" s="27">
        <f>'List Ticket'!A19</f>
      </c>
      <c r="B19" s="27">
        <f>'List Ticket'!B19</f>
      </c>
      <c r="C19" s="27">
        <f>IF('List Ticket'!C19=1, 1, 0)</f>
      </c>
      <c r="D19" s="26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8">
        <f>SUM(C19:Z19)</f>
      </c>
    </row>
    <row r="20">
      <c r="A20" s="27">
        <f>'List Ticket'!A20</f>
      </c>
      <c r="B20" s="27">
        <f>'List Ticket'!B20</f>
      </c>
      <c r="C20" s="27">
        <f>IF('List Ticket'!C20=1, 1, 0)</f>
      </c>
      <c r="D20" s="26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8">
        <f>SUM(C20:Z20)</f>
      </c>
    </row>
    <row r="21">
      <c r="A21" s="27">
        <f>'List Ticket'!A21</f>
      </c>
      <c r="B21" s="27">
        <f>'List Ticket'!B21</f>
      </c>
      <c r="C21" s="27">
        <f>IF('List Ticket'!C21=1, 1, 0)</f>
      </c>
      <c r="D21" s="26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8">
        <f>SUM(C21:Z21)</f>
      </c>
    </row>
    <row r="22">
      <c r="A22" s="27">
        <f>'List Ticket'!A22</f>
      </c>
      <c r="B22" s="27">
        <f>'List Ticket'!B22</f>
      </c>
      <c r="C22" s="27">
        <f>IF('List Ticket'!C22=1, 1, 0)</f>
      </c>
      <c r="D22" s="26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8">
        <f>SUM(C22:Z22)</f>
      </c>
    </row>
    <row r="23">
      <c r="A23" s="27">
        <f>'List Ticket'!A23</f>
      </c>
      <c r="B23" s="27">
        <f>'List Ticket'!B23</f>
      </c>
      <c r="C23" s="27">
        <f>IF('List Ticket'!C23=1, 1, 0)</f>
      </c>
      <c r="D23" s="26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8">
        <f>SUM(C23:Z23)</f>
      </c>
    </row>
    <row r="24">
      <c r="A24" s="27">
        <f>'List Ticket'!A24</f>
      </c>
      <c r="B24" s="27">
        <f>'List Ticket'!B24</f>
      </c>
      <c r="C24" s="27">
        <f>IF('List Ticket'!C24=1, 1, 0)</f>
      </c>
      <c r="D24" s="26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8">
        <f>SUM(C24:Z24)</f>
      </c>
    </row>
    <row r="25">
      <c r="A25" s="27">
        <f>'List Ticket'!A25</f>
      </c>
      <c r="B25" s="27">
        <f>'List Ticket'!B25</f>
      </c>
      <c r="C25" s="27">
        <f>IF('List Ticket'!C25=1, 1, 0)</f>
      </c>
      <c r="D25" s="26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8">
        <f>SUM(C25:Z25)</f>
      </c>
    </row>
    <row r="26">
      <c r="A26" s="27">
        <f>'List Ticket'!A26</f>
      </c>
      <c r="B26" s="27">
        <f>'List Ticket'!B26</f>
      </c>
      <c r="C26" s="27">
        <f>IF('List Ticket'!C26=1, 1, 0)</f>
      </c>
      <c r="D26" s="26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8">
        <f>SUM(C26:Z26)</f>
      </c>
    </row>
    <row r="27">
      <c r="A27" s="27">
        <f>'List Ticket'!A27</f>
      </c>
      <c r="B27" s="27">
        <f>'List Ticket'!B27</f>
      </c>
      <c r="C27" s="27">
        <f>IF('List Ticket'!C27=1, 1, 0)</f>
      </c>
      <c r="D27" s="26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8">
        <f>SUM(C27:Z27)</f>
      </c>
    </row>
    <row r="28">
      <c r="A28" s="27">
        <f>'List Ticket'!A28</f>
      </c>
      <c r="B28" s="27">
        <f>'List Ticket'!B28</f>
      </c>
      <c r="C28" s="27">
        <f>IF('List Ticket'!C28=1, 1, 0)</f>
      </c>
      <c r="D28" s="26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8">
        <f>SUM(C28:Z28)</f>
      </c>
    </row>
    <row r="29">
      <c r="A29" s="27">
        <f>'List Ticket'!A29</f>
      </c>
      <c r="B29" s="27">
        <f>'List Ticket'!B29</f>
      </c>
      <c r="C29" s="27">
        <f>IF('List Ticket'!C29=1, 1, 0)</f>
      </c>
      <c r="D29" s="26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8">
        <f>SUM(C29:Z29)</f>
      </c>
    </row>
    <row r="30">
      <c r="A30" s="27">
        <f>'List Ticket'!A30</f>
      </c>
      <c r="B30" s="27">
        <f>'List Ticket'!B30</f>
      </c>
      <c r="C30" s="27">
        <f>IF('List Ticket'!C30=1, 1, 0)</f>
      </c>
      <c r="D30" s="26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8">
        <f>SUM(C30:Z30)</f>
      </c>
    </row>
    <row r="31">
      <c r="A31" s="27">
        <f>'List Ticket'!A31</f>
      </c>
      <c r="B31" s="27">
        <f>'List Ticket'!B31</f>
      </c>
      <c r="C31" s="27">
        <f>IF('List Ticket'!C31=1, 1, 0)</f>
      </c>
      <c r="D31" s="26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8">
        <f>SUM(C31:Z31)</f>
      </c>
    </row>
    <row r="32">
      <c r="A32" s="27">
        <f>'List Ticket'!A32</f>
      </c>
      <c r="B32" s="27">
        <f>'List Ticket'!B32</f>
      </c>
      <c r="C32" s="27">
        <f>IF('List Ticket'!C32=1, 1, 0)</f>
      </c>
      <c r="D32" s="26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8">
        <f>SUM(C32:Z32)</f>
      </c>
    </row>
    <row r="33">
      <c r="A33" s="27">
        <f>'List Ticket'!A33</f>
      </c>
      <c r="B33" s="27">
        <f>'List Ticket'!B33</f>
      </c>
      <c r="C33" s="27">
        <f>IF('List Ticket'!C33=1, 1, 0)</f>
      </c>
      <c r="D33" s="26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8">
        <f>SUM(C33:Z33)</f>
      </c>
    </row>
    <row r="34">
      <c r="A34" s="27">
        <f>'List Ticket'!A34</f>
      </c>
      <c r="B34" s="27">
        <f>'List Ticket'!B34</f>
      </c>
      <c r="C34" s="27">
        <f>IF('List Ticket'!C34=1, 1, 0)</f>
      </c>
      <c r="D34" s="26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8">
        <f>SUM(C34:Z34)</f>
      </c>
    </row>
    <row r="35">
      <c r="A35" s="27">
        <f>'List Ticket'!A35</f>
      </c>
      <c r="B35" s="27">
        <f>'List Ticket'!B35</f>
      </c>
      <c r="C35" s="27">
        <f>IF('List Ticket'!C35=1, 1, 0)</f>
      </c>
      <c r="D35" s="26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8">
        <f>SUM(C35:Z35)</f>
      </c>
    </row>
    <row r="36">
      <c r="A36" s="27">
        <f>'List Ticket'!A36</f>
      </c>
      <c r="B36" s="27">
        <f>'List Ticket'!B36</f>
      </c>
      <c r="C36" s="27">
        <f>IF('List Ticket'!C36=1, 1, 0)</f>
      </c>
      <c r="D36" s="26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8">
        <f>SUM(C36:Z36)</f>
      </c>
    </row>
    <row r="37">
      <c r="A37" s="27">
        <f>'List Ticket'!A37</f>
      </c>
      <c r="B37" s="27">
        <f>'List Ticket'!B37</f>
      </c>
      <c r="C37" s="27">
        <f>IF('List Ticket'!C37=1, 1, 0)</f>
      </c>
      <c r="D37" s="26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8">
        <f>SUM(C37:Z37)</f>
      </c>
    </row>
    <row r="38">
      <c r="A38" s="27">
        <f>'List Ticket'!A38</f>
      </c>
      <c r="B38" s="27">
        <f>'List Ticket'!B38</f>
      </c>
      <c r="C38" s="27">
        <f>IF('List Ticket'!C38=1, 1, 0)</f>
      </c>
      <c r="D38" s="26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8">
        <f>SUM(C38:Z38)</f>
      </c>
    </row>
    <row r="39">
      <c r="A39" s="27">
        <f>'List Ticket'!A39</f>
      </c>
      <c r="B39" s="27">
        <f>'List Ticket'!B39</f>
      </c>
      <c r="C39" s="27">
        <f>IF('List Ticket'!C39=1, 1, 0)</f>
      </c>
      <c r="D39" s="26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8">
        <f>SUM(C39:Z39)</f>
      </c>
    </row>
    <row r="40">
      <c r="A40" s="27">
        <f>'List Ticket'!A40</f>
      </c>
      <c r="B40" s="27">
        <f>'List Ticket'!B40</f>
      </c>
      <c r="C40" s="27">
        <f>IF('List Ticket'!C40=1, 1, 0)</f>
      </c>
      <c r="D40" s="26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8">
        <f>SUM(C40:Z40)</f>
      </c>
    </row>
    <row r="41">
      <c r="A41" s="27">
        <f>'List Ticket'!A41</f>
      </c>
      <c r="B41" s="27">
        <f>'List Ticket'!B41</f>
      </c>
      <c r="C41" s="27">
        <f>IF('List Ticket'!C41=1, 1, 0)</f>
      </c>
      <c r="D41" s="26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8">
        <f>SUM(C41:Z41)</f>
      </c>
    </row>
    <row r="42">
      <c r="A42" s="27">
        <f>'List Ticket'!A42</f>
      </c>
      <c r="B42" s="27">
        <f>'List Ticket'!B42</f>
      </c>
      <c r="C42" s="27">
        <f>IF('List Ticket'!C42=1, 1, 0)</f>
      </c>
      <c r="D42" s="26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8">
        <f>SUM(C42:Z42)</f>
      </c>
    </row>
    <row r="43">
      <c r="A43" s="27">
        <f>'List Ticket'!A43</f>
      </c>
      <c r="B43" s="27">
        <f>'List Ticket'!B43</f>
      </c>
      <c r="C43" s="27">
        <f>IF('List Ticket'!C43=1, 1, 0)</f>
      </c>
      <c r="D43" s="26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8">
        <f>SUM(C43:Z43)</f>
      </c>
    </row>
    <row r="44">
      <c r="A44" s="27">
        <f>'List Ticket'!A44</f>
      </c>
      <c r="B44" s="27">
        <f>'List Ticket'!B44</f>
      </c>
      <c r="C44" s="27">
        <f>IF('List Ticket'!C44=1, 1, 0)</f>
      </c>
      <c r="D44" s="26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8">
        <f>SUM(C44:Z44)</f>
      </c>
    </row>
    <row r="45">
      <c r="A45" s="27">
        <f>'List Ticket'!A45</f>
      </c>
      <c r="B45" s="27">
        <f>'List Ticket'!B45</f>
      </c>
      <c r="C45" s="27">
        <f>IF('List Ticket'!C45=1, 1, 0)</f>
      </c>
      <c r="D45" s="26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8">
        <f>SUM(C45:Z45)</f>
      </c>
    </row>
    <row r="46">
      <c r="A46" s="27">
        <f>'List Ticket'!A46</f>
      </c>
      <c r="B46" s="27">
        <f>'List Ticket'!B46</f>
      </c>
      <c r="C46" s="27">
        <f>IF('List Ticket'!C46=1, 1, 0)</f>
      </c>
      <c r="D46" s="26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8">
        <f>SUM(C46:Z46)</f>
      </c>
    </row>
    <row r="47">
      <c r="A47" s="27">
        <f>'List Ticket'!A47</f>
      </c>
      <c r="B47" s="27">
        <f>'List Ticket'!B47</f>
      </c>
      <c r="C47" s="27">
        <f>IF('List Ticket'!C47=1, 1, 0)</f>
      </c>
      <c r="D47" s="26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8">
        <f>SUM(C47:Z47)</f>
      </c>
    </row>
    <row r="48">
      <c r="A48" s="27">
        <f>'List Ticket'!A48</f>
      </c>
      <c r="B48" s="27">
        <f>'List Ticket'!B48</f>
      </c>
      <c r="C48" s="27">
        <f>IF('List Ticket'!C48=1, 1, 0)</f>
      </c>
      <c r="D48" s="26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8">
        <f>SUM(C48:Z48)</f>
      </c>
    </row>
    <row r="49">
      <c r="A49" s="27">
        <f>'List Ticket'!A49</f>
      </c>
      <c r="B49" s="27">
        <f>'List Ticket'!B49</f>
      </c>
      <c r="C49" s="27">
        <f>IF('List Ticket'!C49=1, 1, 0)</f>
      </c>
      <c r="D49" s="26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8">
        <f>SUM(C49:Z49)</f>
      </c>
    </row>
    <row r="50">
      <c r="A50" s="27">
        <f>'List Ticket'!A50</f>
      </c>
      <c r="B50" s="27">
        <f>'List Ticket'!B50</f>
      </c>
      <c r="C50" s="27">
        <f>IF('List Ticket'!C50=1, 1, 0)</f>
      </c>
      <c r="D50" s="26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8">
        <f>SUM(C50:Z50)</f>
      </c>
    </row>
    <row r="51">
      <c r="A51" s="27">
        <f>'List Ticket'!A51</f>
      </c>
      <c r="B51" s="27">
        <f>'List Ticket'!B51</f>
      </c>
      <c r="C51" s="27">
        <f>IF('List Ticket'!C51=1, 1, 0)</f>
      </c>
      <c r="D51" s="26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8">
        <f>SUM(C51:Z51)</f>
      </c>
    </row>
    <row r="52">
      <c r="A52" s="27">
        <f>'List Ticket'!A52</f>
      </c>
      <c r="B52" s="27">
        <f>'List Ticket'!B52</f>
      </c>
      <c r="C52" s="27">
        <f>IF('List Ticket'!C52=1, 1, 0)</f>
      </c>
      <c r="D52" s="26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8">
        <f>SUM(C52:Z52)</f>
      </c>
    </row>
    <row r="53">
      <c r="A53" s="27">
        <f>'List Ticket'!A53</f>
      </c>
      <c r="B53" s="27">
        <f>'List Ticket'!B53</f>
      </c>
      <c r="C53" s="27">
        <f>IF('List Ticket'!C53=1, 1, 0)</f>
      </c>
      <c r="D53" s="26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8">
        <f>SUM(C53:Z53)</f>
      </c>
    </row>
    <row r="54">
      <c r="A54" s="27">
        <f>'List Ticket'!A54</f>
      </c>
      <c r="B54" s="27">
        <f>'List Ticket'!B54</f>
      </c>
      <c r="C54" s="27">
        <f>IF('List Ticket'!C54=1, 1, 0)</f>
      </c>
      <c r="D54" s="26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8">
        <f>SUM(C54:Z54)</f>
      </c>
    </row>
    <row r="55">
      <c r="A55" s="27">
        <f>'List Ticket'!A55</f>
      </c>
      <c r="B55" s="27">
        <f>'List Ticket'!B55</f>
      </c>
      <c r="C55" s="27">
        <f>IF('List Ticket'!C55=1, 1, 0)</f>
      </c>
      <c r="D55" s="26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8">
        <f>SUM(C55:Z55)</f>
      </c>
    </row>
    <row r="56">
      <c r="A56" s="27">
        <f>'List Ticket'!A56</f>
      </c>
      <c r="B56" s="27">
        <f>'List Ticket'!B56</f>
      </c>
      <c r="C56" s="27">
        <f>IF('List Ticket'!C56=1, 1, 0)</f>
      </c>
      <c r="D56" s="26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8">
        <f>SUM(C56:Z56)</f>
      </c>
    </row>
    <row r="57">
      <c r="A57" s="27">
        <f>'List Ticket'!A57</f>
      </c>
      <c r="B57" s="27">
        <f>'List Ticket'!B57</f>
      </c>
      <c r="C57" s="27">
        <f>IF('List Ticket'!C57=1, 1, 0)</f>
      </c>
      <c r="D57" s="26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8">
        <f>SUM(C57:Z57)</f>
      </c>
    </row>
    <row r="58">
      <c r="A58" s="27">
        <f>'List Ticket'!A58</f>
      </c>
      <c r="B58" s="27">
        <f>'List Ticket'!B58</f>
      </c>
      <c r="C58" s="27">
        <f>IF('List Ticket'!C58=1, 1, 0)</f>
      </c>
      <c r="D58" s="26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8">
        <f>SUM(C58:Z58)</f>
      </c>
    </row>
    <row r="59">
      <c r="A59" s="27">
        <f>'List Ticket'!A59</f>
      </c>
      <c r="B59" s="27">
        <f>'List Ticket'!B59</f>
      </c>
      <c r="C59" s="27">
        <f>IF('List Ticket'!C59=1, 1, 0)</f>
      </c>
      <c r="D59" s="26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8">
        <f>SUM(C59:Z59)</f>
      </c>
    </row>
    <row r="60">
      <c r="A60" s="27">
        <f>'List Ticket'!A60</f>
      </c>
      <c r="B60" s="27">
        <f>'List Ticket'!B60</f>
      </c>
      <c r="C60" s="27">
        <f>IF('List Ticket'!C60=1, 1, 0)</f>
      </c>
      <c r="D60" s="26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8">
        <f>SUM(C60:Z60)</f>
      </c>
    </row>
    <row r="61">
      <c r="A61" s="27">
        <f>'List Ticket'!A61</f>
      </c>
      <c r="B61" s="27">
        <f>'List Ticket'!B61</f>
      </c>
      <c r="C61" s="27">
        <f>IF('List Ticket'!C61=1, 1, 0)</f>
      </c>
      <c r="D61" s="26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8">
        <f>SUM(C61:Z61)</f>
      </c>
    </row>
    <row r="62">
      <c r="A62" s="27">
        <f>'List Ticket'!A62</f>
      </c>
      <c r="B62" s="27">
        <f>'List Ticket'!B62</f>
      </c>
      <c r="C62" s="27">
        <f>IF('List Ticket'!C62=1, 1, 0)</f>
      </c>
      <c r="D62" s="26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8">
        <f>SUM(C62:Z62)</f>
      </c>
    </row>
    <row r="63">
      <c r="A63" s="27">
        <f>'List Ticket'!A63</f>
      </c>
      <c r="B63" s="27">
        <f>'List Ticket'!B63</f>
      </c>
      <c r="C63" s="27">
        <f>IF('List Ticket'!C62=1, 1, 0)</f>
      </c>
      <c r="D63" s="26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8">
        <f>SUM(C63:Z63)</f>
      </c>
    </row>
    <row r="64">
      <c r="A64" s="27">
        <f>'List Ticket'!A64</f>
      </c>
      <c r="B64" s="27">
        <f>'List Ticket'!B64</f>
      </c>
      <c r="C64" s="27">
        <f>IF('List Ticket'!C63=1, 1, 0)</f>
      </c>
      <c r="D64" s="26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8">
        <f>SUM(C64:Z64)</f>
      </c>
    </row>
    <row r="65">
      <c r="A65" s="27">
        <f>'List Ticket'!A65</f>
      </c>
      <c r="B65" s="27">
        <f>'List Ticket'!B65</f>
      </c>
      <c r="C65" s="27">
        <f>IF('List Ticket'!C64=1, 1, 0)</f>
      </c>
      <c r="D65" s="26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8">
        <f>SUM(C65:Z65)</f>
      </c>
    </row>
    <row r="66">
      <c r="A66" s="27">
        <f>'List Ticket'!A66</f>
      </c>
      <c r="B66" s="27">
        <f>'List Ticket'!B66</f>
      </c>
      <c r="C66" s="27">
        <f>IF('List Ticket'!C65=1, 1, 0)</f>
      </c>
      <c r="D66" s="26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8">
        <f>SUM(C66:Z66)</f>
      </c>
    </row>
    <row r="67">
      <c r="A67" s="27">
        <f>'List Ticket'!A67</f>
      </c>
      <c r="B67" s="27">
        <f>'List Ticket'!B67</f>
      </c>
      <c r="C67" s="27">
        <f>IF('List Ticket'!C66=1, 1, 0)</f>
      </c>
      <c r="D67" s="26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8">
        <f>SUM(C67:Z67)</f>
      </c>
    </row>
    <row r="68">
      <c r="A68" s="27">
        <f>'List Ticket'!A68</f>
      </c>
      <c r="B68" s="27">
        <f>'List Ticket'!B68</f>
      </c>
      <c r="C68" s="27">
        <f>IF('List Ticket'!C67=1, 1, 0)</f>
      </c>
      <c r="D68" s="26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8">
        <f>SUM(C68:Z68)</f>
      </c>
    </row>
    <row r="69">
      <c r="A69" s="27">
        <f>'List Ticket'!A69</f>
      </c>
      <c r="B69" s="27">
        <f>'List Ticket'!B69</f>
      </c>
      <c r="C69" s="27">
        <f>IF('List Ticket'!C68=1, 1, 0)</f>
      </c>
      <c r="D69" s="26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8">
        <f>SUM(C69:Z69)</f>
      </c>
    </row>
    <row r="70">
      <c r="A70" s="27">
        <f>'List Ticket'!A70</f>
      </c>
      <c r="B70" s="27">
        <f>'List Ticket'!B70</f>
      </c>
      <c r="C70" s="27">
        <f>IF('List Ticket'!C69=1, 1, 0)</f>
      </c>
      <c r="D70" s="26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8">
        <f>SUM(C70:Z70)</f>
      </c>
    </row>
    <row r="71">
      <c r="A71" s="27">
        <f>'List Ticket'!A71</f>
      </c>
      <c r="B71" s="27">
        <f>'List Ticket'!B71</f>
      </c>
      <c r="C71" s="27">
        <f>IF('List Ticket'!C70=1, 1, 0)</f>
      </c>
      <c r="D71" s="26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8">
        <f>SUM(C71:Z71)</f>
      </c>
    </row>
    <row r="72">
      <c r="A72" s="27">
        <f>'List Ticket'!A72</f>
      </c>
      <c r="B72" s="27">
        <f>'List Ticket'!B72</f>
      </c>
      <c r="C72" s="27">
        <f>IF('List Ticket'!C71=1, 1, 0)</f>
      </c>
      <c r="D72" s="26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8">
        <f>SUM(C72:Z72)</f>
      </c>
    </row>
    <row r="73">
      <c r="A73" s="27">
        <f>'List Ticket'!A73</f>
      </c>
      <c r="B73" s="27">
        <f>'List Ticket'!B73</f>
      </c>
      <c r="C73" s="27">
        <f>IF('List Ticket'!C72=1, 1, 0)</f>
      </c>
      <c r="D73" s="26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8">
        <f>SUM(C73:Z73)</f>
      </c>
    </row>
    <row r="74">
      <c r="A74" s="27">
        <f>'List Ticket'!A74</f>
      </c>
      <c r="B74" s="27">
        <f>'List Ticket'!B74</f>
      </c>
      <c r="C74" s="27">
        <f>IF('List Ticket'!C73=1, 1, 0)</f>
      </c>
      <c r="D74" s="26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8">
        <f>SUM(C74:Z74)</f>
      </c>
    </row>
    <row r="75">
      <c r="A75" s="27">
        <f>'List Ticket'!A75</f>
      </c>
      <c r="B75" s="27">
        <f>'List Ticket'!B75</f>
      </c>
      <c r="C75" s="27">
        <f>IF('List Ticket'!C74=1, 1, 0)</f>
      </c>
      <c r="D75" s="26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8">
        <f>SUM(C75:Z75)</f>
      </c>
    </row>
    <row r="76">
      <c r="A76" s="27">
        <f>'List Ticket'!A76</f>
      </c>
      <c r="B76" s="27">
        <f>'List Ticket'!B76</f>
      </c>
      <c r="C76" s="27">
        <f>IF('List Ticket'!C75=1, 1, 0)</f>
      </c>
      <c r="D76" s="26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8">
        <f>SUM(C76:Z76)</f>
      </c>
    </row>
    <row r="77">
      <c r="A77" s="27">
        <f>'List Ticket'!A77</f>
      </c>
      <c r="B77" s="27">
        <f>'List Ticket'!B77</f>
      </c>
      <c r="C77" s="27">
        <f>IF('List Ticket'!C76=1, 1, 0)</f>
      </c>
      <c r="D77" s="26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8">
        <f>SUM(C77:Z77)</f>
      </c>
    </row>
    <row r="78">
      <c r="A78" s="27">
        <f>'List Ticket'!A78</f>
      </c>
      <c r="B78" s="27">
        <f>'List Ticket'!B78</f>
      </c>
      <c r="C78" s="27">
        <f>IF('List Ticket'!C77=1, 1, 0)</f>
      </c>
      <c r="D78" s="26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8">
        <f>SUM(C78:Z78)</f>
      </c>
    </row>
    <row r="79">
      <c r="A79" s="27">
        <f>'List Ticket'!A79</f>
      </c>
      <c r="B79" s="27">
        <f>'List Ticket'!B79</f>
      </c>
      <c r="C79" s="27">
        <f>IF('List Ticket'!C78=1, 1, 0)</f>
      </c>
      <c r="D79" s="26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8">
        <f>SUM(C79:Z79)</f>
      </c>
    </row>
    <row r="80">
      <c r="A80" s="27">
        <f>'List Ticket'!A80</f>
      </c>
      <c r="B80" s="27">
        <f>'List Ticket'!B80</f>
      </c>
      <c r="C80" s="27">
        <f>IF('List Ticket'!C79=1, 1, 0)</f>
      </c>
      <c r="D80" s="26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8">
        <f>SUM(C80:Z80)</f>
      </c>
    </row>
    <row r="81">
      <c r="A81" s="27">
        <f>'List Ticket'!A81</f>
      </c>
      <c r="B81" s="27">
        <f>'List Ticket'!B81</f>
      </c>
      <c r="C81" s="27">
        <f>IF('List Ticket'!C80=1, 1, 0)</f>
      </c>
      <c r="D81" s="26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8">
        <f>SUM(C81:Z81)</f>
      </c>
    </row>
    <row r="82">
      <c r="A82" s="27">
        <f>'List Ticket'!A82</f>
      </c>
      <c r="B82" s="27">
        <f>'List Ticket'!B82</f>
      </c>
      <c r="C82" s="27">
        <f>IF('List Ticket'!C81=1, 1, 0)</f>
      </c>
      <c r="D82" s="26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8">
        <f>SUM(C82:Z82)</f>
      </c>
    </row>
    <row r="83">
      <c r="A83" s="27">
        <f>'List Ticket'!A83</f>
      </c>
      <c r="B83" s="27">
        <f>'List Ticket'!B83</f>
      </c>
      <c r="C83" s="27">
        <f>IF('List Ticket'!C82=1, 1, 0)</f>
      </c>
      <c r="D83" s="26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8">
        <f>SUM(C83:Z83)</f>
      </c>
    </row>
    <row r="84">
      <c r="A84" s="27">
        <f>'List Ticket'!A84</f>
      </c>
      <c r="B84" s="27">
        <f>'List Ticket'!B84</f>
      </c>
      <c r="C84" s="27">
        <f>IF('List Ticket'!C83=1, 1, 0)</f>
      </c>
      <c r="D84" s="26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8">
        <f>SUM(C84:Z84)</f>
      </c>
    </row>
    <row r="85">
      <c r="A85" s="27">
        <f>'List Ticket'!A85</f>
      </c>
      <c r="B85" s="27">
        <f>'List Ticket'!B85</f>
      </c>
      <c r="C85" s="27">
        <f>IF('List Ticket'!C84=1, 1, 0)</f>
      </c>
      <c r="D85" s="26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8">
        <f>SUM(C85:Z85)</f>
      </c>
    </row>
    <row r="86">
      <c r="A86" s="27">
        <f>'List Ticket'!A86</f>
      </c>
      <c r="B86" s="27">
        <f>'List Ticket'!B86</f>
      </c>
      <c r="C86" s="27">
        <f>IF('List Ticket'!C85=1, 1, 0)</f>
      </c>
      <c r="D86" s="26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8">
        <f>SUM(C86:Z86)</f>
      </c>
    </row>
    <row r="87">
      <c r="A87" s="27">
        <f>'List Ticket'!A87</f>
      </c>
      <c r="B87" s="27">
        <f>'List Ticket'!B87</f>
      </c>
      <c r="C87" s="27">
        <f>IF('List Ticket'!C86=1, 1, 0)</f>
      </c>
      <c r="D87" s="26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8">
        <f>SUM(C87:Z87)</f>
      </c>
    </row>
    <row r="88">
      <c r="A88" s="27">
        <f>'List Ticket'!A88</f>
      </c>
      <c r="B88" s="27">
        <f>'List Ticket'!B88</f>
      </c>
      <c r="C88" s="27">
        <f>IF('List Ticket'!C87=1, 1, 0)</f>
      </c>
      <c r="D88" s="26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8">
        <f>SUM(C88:Z88)</f>
      </c>
    </row>
    <row r="89">
      <c r="A89" s="27">
        <f>'List Ticket'!A89</f>
      </c>
      <c r="B89" s="27">
        <f>'List Ticket'!B89</f>
      </c>
      <c r="C89" s="27">
        <f>IF('List Ticket'!C88=1, 1, 0)</f>
      </c>
      <c r="D89" s="26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8">
        <f>SUM(C89:Z89)</f>
      </c>
    </row>
    <row r="90">
      <c r="A90" s="27">
        <f>'List Ticket'!A90</f>
      </c>
      <c r="B90" s="27">
        <f>'List Ticket'!B90</f>
      </c>
      <c r="C90" s="27">
        <f>IF('List Ticket'!C89=1, 1, 0)</f>
      </c>
      <c r="D90" s="26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8">
        <f>SUM(C90:Z90)</f>
      </c>
    </row>
    <row r="91">
      <c r="A91" s="27">
        <f>'List Ticket'!A91</f>
      </c>
      <c r="B91" s="27">
        <f>'List Ticket'!B91</f>
      </c>
      <c r="C91" s="27">
        <f>IF('List Ticket'!C90=1, 1, 0)</f>
      </c>
      <c r="D91" s="26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8">
        <f>SUM(C91:Z91)</f>
      </c>
    </row>
    <row r="92">
      <c r="A92" s="27">
        <f>'List Ticket'!A92</f>
      </c>
      <c r="B92" s="27">
        <f>'List Ticket'!B92</f>
      </c>
      <c r="C92" s="27">
        <f>IF('List Ticket'!C91=1, 1, 0)</f>
      </c>
      <c r="D92" s="26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8">
        <f>SUM(C92:Z92)</f>
      </c>
    </row>
    <row r="93">
      <c r="A93" s="27">
        <f>'List Ticket'!A93</f>
      </c>
      <c r="B93" s="27">
        <f>'List Ticket'!B93</f>
      </c>
      <c r="C93" s="27">
        <f>IF('List Ticket'!C92=1, 1, 0)</f>
      </c>
      <c r="D93" s="26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8">
        <f>SUM(C93:Z93)</f>
      </c>
    </row>
    <row r="94">
      <c r="A94" s="27">
        <f>'List Ticket'!A94</f>
      </c>
      <c r="B94" s="27">
        <f>'List Ticket'!B94</f>
      </c>
      <c r="C94" s="27">
        <f>IF('List Ticket'!C93=1, 1, 0)</f>
      </c>
      <c r="D94" s="26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8">
        <f>SUM(C94:Z94)</f>
      </c>
    </row>
    <row r="95">
      <c r="A95" s="27">
        <f>'List Ticket'!A95</f>
      </c>
      <c r="B95" s="27">
        <f>'List Ticket'!B95</f>
      </c>
      <c r="C95" s="27">
        <f>IF('List Ticket'!C94=1, 1, 0)</f>
      </c>
      <c r="D95" s="26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8">
        <f>SUM(C95:Z95)</f>
      </c>
    </row>
    <row r="96">
      <c r="A96" s="27">
        <f>'List Ticket'!A96</f>
      </c>
      <c r="B96" s="27">
        <f>'List Ticket'!B96</f>
      </c>
      <c r="C96" s="27">
        <f>IF('List Ticket'!C95=1, 1, 0)</f>
      </c>
      <c r="D96" s="26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8">
        <f>SUM(C96:Z96)</f>
      </c>
    </row>
    <row r="97">
      <c r="A97" s="27">
        <f>'List Ticket'!A97</f>
      </c>
      <c r="B97" s="27">
        <f>'List Ticket'!B97</f>
      </c>
      <c r="C97" s="27">
        <f>IF('List Ticket'!C96=1, 1, 0)</f>
      </c>
      <c r="D97" s="26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8">
        <f>SUM(C97:Z97)</f>
      </c>
    </row>
    <row r="98">
      <c r="A98" s="27">
        <f>'List Ticket'!A98</f>
      </c>
      <c r="B98" s="27">
        <f>'List Ticket'!B98</f>
      </c>
      <c r="C98" s="27">
        <f>IF('List Ticket'!C97=1, 1, 0)</f>
      </c>
      <c r="D98" s="26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8">
        <f>SUM(C98:Z98)</f>
      </c>
    </row>
    <row r="99">
      <c r="A99" s="27">
        <f>'List Ticket'!A99</f>
      </c>
      <c r="B99" s="27">
        <f>'List Ticket'!B99</f>
      </c>
      <c r="C99" s="27">
        <f>IF('List Ticket'!C98=1, 1, 0)</f>
      </c>
      <c r="D99" s="26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8">
        <f>SUM(C99:Z99)</f>
      </c>
    </row>
    <row r="100">
      <c r="A100" s="27">
        <f>'List Ticket'!A100</f>
      </c>
      <c r="B100" s="27">
        <f>'List Ticket'!B100</f>
      </c>
      <c r="C100" s="27">
        <f>IF('List Ticket'!C99=1, 1, 0)</f>
      </c>
      <c r="D100" s="26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8">
        <f>SUM(C100:Z100)</f>
      </c>
    </row>
    <row r="101">
      <c r="A101" s="27">
        <f>'List Ticket'!A101</f>
      </c>
      <c r="B101" s="27">
        <f>'List Ticket'!B101</f>
      </c>
      <c r="C101" s="27">
        <f>IF('List Ticket'!C100=1, 1, 0)</f>
      </c>
      <c r="D101" s="26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8">
        <f>SUM(C101:Z101)</f>
      </c>
    </row>
    <row r="102">
      <c r="A102" s="27">
        <f>'List Ticket'!A102</f>
      </c>
      <c r="B102" s="27">
        <f>'List Ticket'!B102</f>
      </c>
      <c r="C102" s="27">
        <f>IF('List Ticket'!C101=1, 1, 0)</f>
      </c>
      <c r="D102" s="26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8">
        <f>SUM(C102:Z102)</f>
      </c>
    </row>
    <row r="103">
      <c r="A103" s="27">
        <f>'List Ticket'!A103</f>
      </c>
      <c r="B103" s="27">
        <f>'List Ticket'!B103</f>
      </c>
      <c r="C103" s="27">
        <f>IF('List Ticket'!C102=1, 1, 0)</f>
      </c>
      <c r="D103" s="26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8">
        <f>SUM(C103:Z103)</f>
      </c>
    </row>
    <row r="104">
      <c r="A104" s="27">
        <f>'List Ticket'!A104</f>
      </c>
      <c r="B104" s="27">
        <f>'List Ticket'!B104</f>
      </c>
      <c r="C104" s="27">
        <f>IF('List Ticket'!C103=1, 1, 0)</f>
      </c>
      <c r="D104" s="26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8">
        <f>SUM(C104:Z104)</f>
      </c>
    </row>
    <row r="105">
      <c r="A105" s="27">
        <f>'List Ticket'!A105</f>
      </c>
      <c r="B105" s="27">
        <f>'List Ticket'!B105</f>
      </c>
      <c r="C105" s="27">
        <f>IF('List Ticket'!C104=1, 1, 0)</f>
      </c>
      <c r="D105" s="26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8">
        <f>SUM(C105:Z105)</f>
      </c>
    </row>
    <row r="106">
      <c r="A106" s="27">
        <f>'List Ticket'!A106</f>
      </c>
      <c r="B106" s="27">
        <f>'List Ticket'!B106</f>
      </c>
      <c r="C106" s="27">
        <f>IF('List Ticket'!C205=1, 1, 0)</f>
      </c>
      <c r="D106" s="26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8">
        <f>SUM(C106:Z106)</f>
      </c>
    </row>
    <row r="107">
      <c r="A107" s="27">
        <f>'List Ticket'!A107</f>
      </c>
      <c r="B107" s="27">
        <f>'List Ticket'!B107</f>
      </c>
      <c r="C107" s="27">
        <f>IF('List Ticket'!C206=1, 1, 0)</f>
      </c>
      <c r="D107" s="26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8">
        <f>SUM(C107:Z107)</f>
      </c>
    </row>
    <row r="108">
      <c r="A108" s="27">
        <f>'List Ticket'!A108</f>
      </c>
      <c r="B108" s="27">
        <f>'List Ticket'!B108</f>
      </c>
      <c r="C108" s="27">
        <f>IF('List Ticket'!C207=1, 1, 0)</f>
      </c>
      <c r="D108" s="26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8">
        <f>SUM(C108:Z108)</f>
      </c>
    </row>
    <row r="109">
      <c r="A109" s="27">
        <f>'List Ticket'!A109</f>
      </c>
      <c r="B109" s="27">
        <f>'List Ticket'!B109</f>
      </c>
      <c r="C109" s="27">
        <f>IF('List Ticket'!C208=1, 1, 0)</f>
      </c>
      <c r="D109" s="26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8">
        <f>SUM(C109:Z109)</f>
      </c>
    </row>
    <row r="110">
      <c r="A110" s="27">
        <f>'List Ticket'!A110</f>
      </c>
      <c r="B110" s="27">
        <f>'List Ticket'!B110</f>
      </c>
      <c r="C110" s="27">
        <f>IF('List Ticket'!C209=1, 1, 0)</f>
      </c>
      <c r="D110" s="26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8">
        <f>SUM(C110:Z110)</f>
      </c>
    </row>
    <row r="111">
      <c r="A111" s="27">
        <f>'List Ticket'!A111</f>
      </c>
      <c r="B111" s="27">
        <f>'List Ticket'!B111</f>
      </c>
      <c r="C111" s="27">
        <f>IF('List Ticket'!C210=1, 1, 0)</f>
      </c>
      <c r="D111" s="26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8">
        <f>SUM(C111:Z111)</f>
      </c>
    </row>
    <row r="112">
      <c r="A112" s="27">
        <f>'List Ticket'!A112</f>
      </c>
      <c r="B112" s="27">
        <f>'List Ticket'!B112</f>
      </c>
      <c r="C112" s="27">
        <f>IF('List Ticket'!C211=1, 1, 0)</f>
      </c>
      <c r="D112" s="26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8">
        <f>SUM(C112:Z112)</f>
      </c>
    </row>
    <row r="113">
      <c r="A113" s="27">
        <f>'List Ticket'!A113</f>
      </c>
      <c r="B113" s="27">
        <f>'List Ticket'!B113</f>
      </c>
      <c r="C113" s="27">
        <f>IF('List Ticket'!C212=1, 1, 0)</f>
      </c>
      <c r="D113" s="26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8">
        <f>SUM(C113:Z113)</f>
      </c>
    </row>
    <row r="114">
      <c r="A114" s="27">
        <f>'List Ticket'!A114</f>
      </c>
      <c r="B114" s="27">
        <f>'List Ticket'!B114</f>
      </c>
      <c r="C114" s="27">
        <f>IF('List Ticket'!C213=1, 1, 0)</f>
      </c>
      <c r="D114" s="26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8">
        <f>SUM(C114:Z114)</f>
      </c>
    </row>
    <row r="115">
      <c r="A115" s="27">
        <f>'List Ticket'!A115</f>
      </c>
      <c r="B115" s="27">
        <f>'List Ticket'!B115</f>
      </c>
      <c r="C115" s="27">
        <f>IF('List Ticket'!C214=1, 1, 0)</f>
      </c>
      <c r="D115" s="26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8">
        <f>SUM(C115:Z115)</f>
      </c>
    </row>
    <row r="116">
      <c r="A116" s="27">
        <f>'List Ticket'!A116</f>
      </c>
      <c r="B116" s="27">
        <f>'List Ticket'!B116</f>
      </c>
      <c r="C116" s="27">
        <f>IF('List Ticket'!C215=1, 1, 0)</f>
      </c>
      <c r="D116" s="26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8">
        <f>SUM(C116:Z116)</f>
      </c>
    </row>
    <row r="117">
      <c r="A117" s="27">
        <f>'List Ticket'!A117</f>
      </c>
      <c r="B117" s="27">
        <f>'List Ticket'!B117</f>
      </c>
      <c r="C117" s="27">
        <f>IF('List Ticket'!C216=1, 1, 0)</f>
      </c>
      <c r="D117" s="26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8">
        <f>SUM(C117:Z117)</f>
      </c>
    </row>
    <row r="118">
      <c r="A118" s="27">
        <f>'List Ticket'!A118</f>
      </c>
      <c r="B118" s="27">
        <f>'List Ticket'!B118</f>
      </c>
      <c r="C118" s="27">
        <f>IF('List Ticket'!C217=1, 1, 0)</f>
      </c>
      <c r="D118" s="26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8">
        <f>SUM(C118:Z118)</f>
      </c>
    </row>
    <row r="119">
      <c r="A119" s="27">
        <f>'List Ticket'!A119</f>
      </c>
      <c r="B119" s="27">
        <f>'List Ticket'!B119</f>
      </c>
      <c r="C119" s="27">
        <f>IF('List Ticket'!C218=1, 1, 0)</f>
      </c>
      <c r="D119" s="26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8">
        <f>SUM(C119:Z119)</f>
      </c>
    </row>
    <row r="120">
      <c r="A120" s="27">
        <f>'List Ticket'!A120</f>
      </c>
      <c r="B120" s="27">
        <f>'List Ticket'!B120</f>
      </c>
      <c r="C120" s="27">
        <f>IF('List Ticket'!C219=1, 1, 0)</f>
      </c>
      <c r="D120" s="26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8">
        <f>SUM(C120:Z120)</f>
      </c>
    </row>
    <row r="121">
      <c r="A121" s="27">
        <f>'List Ticket'!A121</f>
      </c>
      <c r="B121" s="27">
        <f>'List Ticket'!B121</f>
      </c>
      <c r="C121" s="27">
        <f>IF('List Ticket'!C220=1, 1, 0)</f>
      </c>
      <c r="D121" s="26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8">
        <f>SUM(C121:Z121)</f>
      </c>
    </row>
    <row r="122">
      <c r="A122" s="27">
        <f>'List Ticket'!A122</f>
      </c>
      <c r="B122" s="27">
        <f>'List Ticket'!B122</f>
      </c>
      <c r="C122" s="27">
        <f>IF('List Ticket'!C221=1, 1, 0)</f>
      </c>
      <c r="D122" s="26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8">
        <f>SUM(C122:Z122)</f>
      </c>
    </row>
    <row r="123">
      <c r="A123" s="27">
        <f>'List Ticket'!A123</f>
      </c>
      <c r="B123" s="27">
        <f>'List Ticket'!B123</f>
      </c>
      <c r="C123" s="27">
        <f>IF('List Ticket'!C222=1, 1, 0)</f>
      </c>
      <c r="D123" s="26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8">
        <f>SUM(C123:Z123)</f>
      </c>
    </row>
    <row r="124">
      <c r="A124" s="27">
        <f>'List Ticket'!A124</f>
      </c>
      <c r="B124" s="27">
        <f>'List Ticket'!B124</f>
      </c>
      <c r="C124" s="27">
        <f>IF('List Ticket'!C223=1, 1, 0)</f>
      </c>
      <c r="D124" s="26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8">
        <f>SUM(C124:Z124)</f>
      </c>
    </row>
    <row r="125">
      <c r="A125" s="27">
        <f>'List Ticket'!A125</f>
      </c>
      <c r="B125" s="27">
        <f>'List Ticket'!B125</f>
      </c>
      <c r="C125" s="27">
        <f>IF('List Ticket'!C224=1, 1, 0)</f>
      </c>
      <c r="D125" s="26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8">
        <f>SUM(C125:Z125)</f>
      </c>
    </row>
    <row r="126">
      <c r="A126" s="27">
        <f>'List Ticket'!A126</f>
      </c>
      <c r="B126" s="27">
        <f>'List Ticket'!B126</f>
      </c>
      <c r="C126" s="27">
        <f>IF('List Ticket'!C225=1, 1, 0)</f>
      </c>
      <c r="D126" s="26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8">
        <f>SUM(C126:Z126)</f>
      </c>
    </row>
    <row r="127">
      <c r="A127" s="27">
        <f>'List Ticket'!A127</f>
      </c>
      <c r="B127" s="27">
        <f>'List Ticket'!B127</f>
      </c>
      <c r="C127" s="27">
        <f>IF('List Ticket'!C226=1, 1, 0)</f>
      </c>
      <c r="D127" s="26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8">
        <f>SUM(C127:Z127)</f>
      </c>
    </row>
    <row r="128">
      <c r="A128" s="27">
        <f>'List Ticket'!A128</f>
      </c>
      <c r="B128" s="27">
        <f>'List Ticket'!B128</f>
      </c>
      <c r="C128" s="27">
        <f>IF('List Ticket'!C227=1, 1, 0)</f>
      </c>
      <c r="D128" s="26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8">
        <f>SUM(C128:Z128)</f>
      </c>
    </row>
    <row r="129">
      <c r="A129" s="27">
        <f>'List Ticket'!A129</f>
      </c>
      <c r="B129" s="27">
        <f>'List Ticket'!B129</f>
      </c>
      <c r="C129" s="27">
        <f>IF('List Ticket'!C228=1, 1, 0)</f>
      </c>
      <c r="D129" s="26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8">
        <f>SUM(C129:Z129)</f>
      </c>
    </row>
    <row r="130">
      <c r="A130" s="27">
        <f>'List Ticket'!A130</f>
      </c>
      <c r="B130" s="27">
        <f>'List Ticket'!B130</f>
      </c>
      <c r="C130" s="27">
        <f>IF('List Ticket'!C229=1, 1, 0)</f>
      </c>
      <c r="D130" s="26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8">
        <f>SUM(C130:Z130)</f>
      </c>
    </row>
    <row r="131">
      <c r="A131" s="27">
        <f>'List Ticket'!A131</f>
      </c>
      <c r="B131" s="27">
        <f>'List Ticket'!B131</f>
      </c>
      <c r="C131" s="27">
        <f>IF('List Ticket'!C230=1, 1, 0)</f>
      </c>
      <c r="D131" s="26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8">
        <f>SUM(C131:Z131)</f>
      </c>
    </row>
    <row r="132">
      <c r="A132" s="27">
        <f>'List Ticket'!A132</f>
      </c>
      <c r="B132" s="27">
        <f>'List Ticket'!B132</f>
      </c>
      <c r="C132" s="27">
        <f>IF('List Ticket'!C231=1, 1, 0)</f>
      </c>
      <c r="D132" s="26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8">
        <f>SUM(C132:Z132)</f>
      </c>
    </row>
    <row r="133">
      <c r="A133" s="27">
        <f>'List Ticket'!A133</f>
      </c>
      <c r="B133" s="27">
        <f>'List Ticket'!B133</f>
      </c>
      <c r="C133" s="27">
        <f>IF('List Ticket'!C232=1, 1, 0)</f>
      </c>
      <c r="D133" s="26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8">
        <f>SUM(C133:Z133)</f>
      </c>
    </row>
    <row r="134">
      <c r="A134" s="27">
        <f>'List Ticket'!A134</f>
      </c>
      <c r="B134" s="27">
        <f>'List Ticket'!B134</f>
      </c>
      <c r="C134" s="27">
        <f>IF('List Ticket'!C233=1, 1, 0)</f>
      </c>
      <c r="D134" s="26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8">
        <f>SUM(C134:Z134)</f>
      </c>
    </row>
    <row r="135">
      <c r="A135" s="27">
        <f>'List Ticket'!A135</f>
      </c>
      <c r="B135" s="27">
        <f>'List Ticket'!B135</f>
      </c>
      <c r="C135" s="27">
        <f>IF('List Ticket'!C234=1, 1, 0)</f>
      </c>
      <c r="D135" s="26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8">
        <f>SUM(C135:Z135)</f>
      </c>
    </row>
    <row r="136">
      <c r="A136" s="27">
        <f>'List Ticket'!A136</f>
      </c>
      <c r="B136" s="27">
        <f>'List Ticket'!B136</f>
      </c>
      <c r="C136" s="27">
        <f>IF('List Ticket'!C235=1, 1, 0)</f>
      </c>
      <c r="D136" s="26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8">
        <f>SUM(C136:Z136)</f>
      </c>
    </row>
    <row r="137">
      <c r="A137" s="27">
        <f>'List Ticket'!A137</f>
      </c>
      <c r="B137" s="27">
        <f>'List Ticket'!B137</f>
      </c>
      <c r="C137" s="27">
        <f>IF('List Ticket'!C236=1, 1, 0)</f>
      </c>
      <c r="D137" s="26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8">
        <f>SUM(C137:Z137)</f>
      </c>
    </row>
    <row r="138">
      <c r="A138" s="27">
        <f>'List Ticket'!A138</f>
      </c>
      <c r="B138" s="27">
        <f>'List Ticket'!B138</f>
      </c>
      <c r="C138" s="27">
        <f>IF('List Ticket'!C237=1, 1, 0)</f>
      </c>
      <c r="D138" s="26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8">
        <f>SUM(C138:Z138)</f>
      </c>
    </row>
    <row r="139">
      <c r="A139" s="27">
        <f>'List Ticket'!A139</f>
      </c>
      <c r="B139" s="27">
        <f>'List Ticket'!B139</f>
      </c>
      <c r="C139" s="27">
        <f>IF('List Ticket'!C238=1, 1, 0)</f>
      </c>
      <c r="D139" s="26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8">
        <f>SUM(C139:Z139)</f>
      </c>
    </row>
    <row r="140">
      <c r="A140" s="27">
        <f>'List Ticket'!A140</f>
      </c>
      <c r="B140" s="27">
        <f>'List Ticket'!B140</f>
      </c>
      <c r="C140" s="27">
        <f>IF('List Ticket'!C239=1, 1, 0)</f>
      </c>
      <c r="D140" s="26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8">
        <f>SUM(C140:Z140)</f>
      </c>
    </row>
    <row r="141">
      <c r="A141" s="27">
        <f>'List Ticket'!A141</f>
      </c>
      <c r="B141" s="27">
        <f>'List Ticket'!B141</f>
      </c>
      <c r="C141" s="27">
        <f>IF('List Ticket'!C240=1, 1, 0)</f>
      </c>
      <c r="D141" s="26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8">
        <f>SUM(C141:Z141)</f>
      </c>
    </row>
    <row r="142">
      <c r="A142" s="27">
        <f>'List Ticket'!A142</f>
      </c>
      <c r="B142" s="27">
        <f>'List Ticket'!B142</f>
      </c>
      <c r="C142" s="27">
        <f>IF('List Ticket'!C241=1, 1, 0)</f>
      </c>
      <c r="D142" s="26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8">
        <f>SUM(C142:Z142)</f>
      </c>
    </row>
    <row r="143">
      <c r="A143" s="27">
        <f>'List Ticket'!A143</f>
      </c>
      <c r="B143" s="27">
        <f>'List Ticket'!B143</f>
      </c>
      <c r="C143" s="27">
        <f>IF('List Ticket'!C242=1, 1, 0)</f>
      </c>
      <c r="D143" s="26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8">
        <f>SUM(C143:Z143)</f>
      </c>
    </row>
    <row r="144">
      <c r="A144" s="27">
        <f>'List Ticket'!A144</f>
      </c>
      <c r="B144" s="27">
        <f>'List Ticket'!B144</f>
      </c>
      <c r="C144" s="27">
        <f>IF('List Ticket'!C243=1, 1, 0)</f>
      </c>
      <c r="D144" s="26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8">
        <f>SUM(C144:Z144)</f>
      </c>
    </row>
    <row r="145">
      <c r="A145" s="27">
        <f>'List Ticket'!A145</f>
      </c>
      <c r="B145" s="27">
        <f>'List Ticket'!B145</f>
      </c>
      <c r="C145" s="27">
        <f>IF('List Ticket'!C244=1, 1, 0)</f>
      </c>
      <c r="D145" s="26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8">
        <f>SUM(C145:Z145)</f>
      </c>
    </row>
    <row r="146">
      <c r="A146" s="27">
        <f>'List Ticket'!A146</f>
      </c>
      <c r="B146" s="27">
        <f>'List Ticket'!B146</f>
      </c>
      <c r="C146" s="27">
        <f>IF('List Ticket'!C245=1, 1, 0)</f>
      </c>
      <c r="D146" s="26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8">
        <f>SUM(C146:Z146)</f>
      </c>
    </row>
    <row r="147">
      <c r="A147" s="27">
        <f>'List Ticket'!A147</f>
      </c>
      <c r="B147" s="27">
        <f>'List Ticket'!B147</f>
      </c>
      <c r="C147" s="27">
        <f>IF('List Ticket'!C246=1, 1, 0)</f>
      </c>
      <c r="D147" s="26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8">
        <f>SUM(C147:Z147)</f>
      </c>
    </row>
    <row r="148">
      <c r="A148" s="27">
        <f>'List Ticket'!A148</f>
      </c>
      <c r="B148" s="27">
        <f>'List Ticket'!B148</f>
      </c>
      <c r="C148" s="27">
        <f>IF('List Ticket'!C247=1, 1, 0)</f>
      </c>
      <c r="D148" s="26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8">
        <f>SUM(C148:Z148)</f>
      </c>
    </row>
    <row r="149">
      <c r="A149" s="27">
        <f>'List Ticket'!A149</f>
      </c>
      <c r="B149" s="27">
        <f>'List Ticket'!B149</f>
      </c>
      <c r="C149" s="27">
        <f>IF('List Ticket'!C248=1, 1, 0)</f>
      </c>
      <c r="D149" s="26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8">
        <f>SUM(C149:Z149)</f>
      </c>
    </row>
    <row r="150">
      <c r="A150" s="27">
        <f>'List Ticket'!A150</f>
      </c>
      <c r="B150" s="27">
        <f>'List Ticket'!B150</f>
      </c>
      <c r="C150" s="27">
        <f>IF('List Ticket'!C249=1, 1, 0)</f>
      </c>
      <c r="D150" s="26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8">
        <f>SUM(C150:Z150)</f>
      </c>
    </row>
    <row r="151">
      <c r="A151" s="27">
        <f>'List Ticket'!A151</f>
      </c>
      <c r="B151" s="27">
        <f>'List Ticket'!B151</f>
      </c>
      <c r="C151" s="27">
        <f>IF('List Ticket'!C250=1, 1, 0)</f>
      </c>
      <c r="D151" s="26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8">
        <f>SUM(C151:Z151)</f>
      </c>
    </row>
    <row r="152">
      <c r="A152" s="27">
        <f>'List Ticket'!A152</f>
      </c>
      <c r="B152" s="27">
        <f>'List Ticket'!B152</f>
      </c>
      <c r="C152" s="27">
        <f>IF('List Ticket'!C251=1, 1, 0)</f>
      </c>
      <c r="D152" s="26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8">
        <f>SUM(C152:Z152)</f>
      </c>
    </row>
    <row r="153">
      <c r="A153" s="27">
        <f>'List Ticket'!A153</f>
      </c>
      <c r="B153" s="27">
        <f>'List Ticket'!B153</f>
      </c>
      <c r="C153" s="27">
        <f>IF('List Ticket'!C252=1, 1, 0)</f>
      </c>
      <c r="D153" s="26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8">
        <f>SUM(C153:Z153)</f>
      </c>
    </row>
    <row r="154">
      <c r="A154" s="27">
        <f>'List Ticket'!A154</f>
      </c>
      <c r="B154" s="27">
        <f>'List Ticket'!B154</f>
      </c>
      <c r="C154" s="27">
        <f>IF('List Ticket'!C253=1, 1, 0)</f>
      </c>
      <c r="D154" s="26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8">
        <f>SUM(C154:Z154)</f>
      </c>
    </row>
    <row r="155">
      <c r="A155" s="27">
        <f>'List Ticket'!A155</f>
      </c>
      <c r="B155" s="27">
        <f>'List Ticket'!B155</f>
      </c>
      <c r="C155" s="27">
        <f>IF('List Ticket'!C254=1, 1, 0)</f>
      </c>
      <c r="D155" s="26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8">
        <f>SUM(C155:Z155)</f>
      </c>
    </row>
    <row r="156">
      <c r="A156" s="27">
        <f>'List Ticket'!A156</f>
      </c>
      <c r="B156" s="27">
        <f>'List Ticket'!B156</f>
      </c>
      <c r="C156" s="27">
        <f>IF('List Ticket'!C255=1, 1, 0)</f>
      </c>
      <c r="D156" s="26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8">
        <f>SUM(C156:Z156)</f>
      </c>
    </row>
    <row r="157">
      <c r="A157" s="27">
        <f>'List Ticket'!A157</f>
      </c>
      <c r="B157" s="27">
        <f>'List Ticket'!B157</f>
      </c>
      <c r="C157" s="27">
        <f>IF('List Ticket'!C256=1, 1, 0)</f>
      </c>
      <c r="D157" s="26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8">
        <f>SUM(C157:Z157)</f>
      </c>
    </row>
    <row r="158">
      <c r="A158" s="27">
        <f>'List Ticket'!A158</f>
      </c>
      <c r="B158" s="27">
        <f>'List Ticket'!B158</f>
      </c>
      <c r="C158" s="27">
        <f>IF('List Ticket'!C257=1, 1, 0)</f>
      </c>
      <c r="D158" s="26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8">
        <f>SUM(C158:Z158)</f>
      </c>
    </row>
    <row r="159">
      <c r="A159" s="27">
        <f>'List Ticket'!A159</f>
      </c>
      <c r="B159" s="27">
        <f>'List Ticket'!B159</f>
      </c>
      <c r="C159" s="27">
        <f>IF('List Ticket'!C258=1, 1, 0)</f>
      </c>
      <c r="D159" s="26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8">
        <f>SUM(C159:Z159)</f>
      </c>
    </row>
    <row r="160">
      <c r="A160" s="27">
        <f>'List Ticket'!A160</f>
      </c>
      <c r="B160" s="27">
        <f>'List Ticket'!B160</f>
      </c>
      <c r="C160" s="27">
        <f>IF('List Ticket'!C259=1, 1, 0)</f>
      </c>
      <c r="D160" s="26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8">
        <f>SUM(C160:Z160)</f>
      </c>
    </row>
    <row r="161">
      <c r="A161" s="27">
        <f>'List Ticket'!A161</f>
      </c>
      <c r="B161" s="27">
        <f>'List Ticket'!B161</f>
      </c>
      <c r="C161" s="27">
        <f>IF('List Ticket'!C260=1, 1, 0)</f>
      </c>
      <c r="D161" s="26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8">
        <f>SUM(C161:Z161)</f>
      </c>
    </row>
    <row r="162">
      <c r="A162" s="27">
        <f>'List Ticket'!A162</f>
      </c>
      <c r="B162" s="27">
        <f>'List Ticket'!B162</f>
      </c>
      <c r="C162" s="27">
        <f>IF('List Ticket'!C261=1, 1, 0)</f>
      </c>
      <c r="D162" s="26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8">
        <f>SUM(C162:Z162)</f>
      </c>
    </row>
    <row r="163">
      <c r="A163" s="27">
        <f>'List Ticket'!A163</f>
      </c>
      <c r="B163" s="27">
        <f>'List Ticket'!B163</f>
      </c>
      <c r="C163" s="27">
        <f>IF('List Ticket'!C262=1, 1, 0)</f>
      </c>
      <c r="D163" s="26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8">
        <f>SUM(C163:Z163)</f>
      </c>
    </row>
    <row r="164">
      <c r="A164" s="27">
        <f>'List Ticket'!A164</f>
      </c>
      <c r="B164" s="27">
        <f>'List Ticket'!B164</f>
      </c>
      <c r="C164" s="27">
        <f>IF('List Ticket'!C263=1, 1, 0)</f>
      </c>
      <c r="D164" s="26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8">
        <f>SUM(C164:Z164)</f>
      </c>
    </row>
    <row r="165">
      <c r="A165" s="27">
        <f>'List Ticket'!A165</f>
      </c>
      <c r="B165" s="27">
        <f>'List Ticket'!B165</f>
      </c>
      <c r="C165" s="27">
        <f>IF('List Ticket'!C264=1, 1, 0)</f>
      </c>
      <c r="D165" s="26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8">
        <f>SUM(C165:Z165)</f>
      </c>
    </row>
    <row r="166">
      <c r="A166" s="27">
        <f>'List Ticket'!A166</f>
      </c>
      <c r="B166" s="27">
        <f>'List Ticket'!B166</f>
      </c>
      <c r="C166" s="27">
        <f>IF('List Ticket'!C265=1, 1, 0)</f>
      </c>
      <c r="D166" s="26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8">
        <f>SUM(C166:Z166)</f>
      </c>
    </row>
    <row r="167">
      <c r="A167" s="27">
        <f>'List Ticket'!A167</f>
      </c>
      <c r="B167" s="27">
        <f>'List Ticket'!B167</f>
      </c>
      <c r="C167" s="27">
        <f>IF('List Ticket'!C266=1, 1, 0)</f>
      </c>
      <c r="D167" s="26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8">
        <f>SUM(C167:Z167)</f>
      </c>
    </row>
    <row r="168">
      <c r="A168" s="27">
        <f>'List Ticket'!A168</f>
      </c>
      <c r="B168" s="27">
        <f>'List Ticket'!B168</f>
      </c>
      <c r="C168" s="27">
        <f>IF('List Ticket'!C267=1, 1, 0)</f>
      </c>
      <c r="D168" s="26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8">
        <f>SUM(C168:Z168)</f>
      </c>
    </row>
    <row r="169">
      <c r="A169" s="27">
        <f>'List Ticket'!A169</f>
      </c>
      <c r="B169" s="27">
        <f>'List Ticket'!B169</f>
      </c>
      <c r="C169" s="27">
        <f>IF('List Ticket'!C268=1, 1, 0)</f>
      </c>
      <c r="D169" s="26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8">
        <f>SUM(C169:Z169)</f>
      </c>
    </row>
    <row r="170">
      <c r="A170" s="27">
        <f>'List Ticket'!A170</f>
      </c>
      <c r="B170" s="27">
        <f>'List Ticket'!B170</f>
      </c>
      <c r="C170" s="27">
        <f>IF('List Ticket'!C269=1, 1, 0)</f>
      </c>
      <c r="D170" s="26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8">
        <f>SUM(C170:Z170)</f>
      </c>
    </row>
    <row r="171">
      <c r="A171" s="27">
        <f>'List Ticket'!A171</f>
      </c>
      <c r="B171" s="27">
        <f>'List Ticket'!B171</f>
      </c>
      <c r="C171" s="27">
        <f>IF('List Ticket'!C270=1, 1, 0)</f>
      </c>
      <c r="D171" s="26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8">
        <f>SUM(C171:Z171)</f>
      </c>
    </row>
    <row r="172">
      <c r="A172" s="27">
        <f>'List Ticket'!A172</f>
      </c>
      <c r="B172" s="27">
        <f>'List Ticket'!B172</f>
      </c>
      <c r="C172" s="27">
        <f>IF('List Ticket'!C271=1, 1, 0)</f>
      </c>
      <c r="D172" s="26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8">
        <f>SUM(C172:Z172)</f>
      </c>
    </row>
    <row r="173">
      <c r="A173" s="27">
        <f>'List Ticket'!A173</f>
      </c>
      <c r="B173" s="27">
        <f>'List Ticket'!B173</f>
      </c>
      <c r="C173" s="27">
        <f>IF('List Ticket'!C272=1, 1, 0)</f>
      </c>
      <c r="D173" s="26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8">
        <f>SUM(C173:Z173)</f>
      </c>
    </row>
    <row r="174">
      <c r="A174" s="27">
        <f>'List Ticket'!A174</f>
      </c>
      <c r="B174" s="27">
        <f>'List Ticket'!B174</f>
      </c>
      <c r="C174" s="27">
        <f>IF('List Ticket'!C273=1, 1, 0)</f>
      </c>
      <c r="D174" s="26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8">
        <f>SUM(C174:Z174)</f>
      </c>
    </row>
    <row r="175">
      <c r="A175" s="27">
        <f>'List Ticket'!A175</f>
      </c>
      <c r="B175" s="27">
        <f>'List Ticket'!B175</f>
      </c>
      <c r="C175" s="27">
        <f>IF('List Ticket'!C274=1, 1, 0)</f>
      </c>
      <c r="D175" s="26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8">
        <f>SUM(C175:Z175)</f>
      </c>
    </row>
    <row r="176">
      <c r="A176" s="27">
        <f>'List Ticket'!A176</f>
      </c>
      <c r="B176" s="27">
        <f>'List Ticket'!B176</f>
      </c>
      <c r="C176" s="27">
        <f>IF('List Ticket'!C275=1, 1, 0)</f>
      </c>
      <c r="D176" s="26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8">
        <f>SUM(C176:Z176)</f>
      </c>
    </row>
    <row r="177">
      <c r="A177" s="27">
        <f>'List Ticket'!A177</f>
      </c>
      <c r="B177" s="27">
        <f>'List Ticket'!B177</f>
      </c>
      <c r="C177" s="27">
        <f>IF('List Ticket'!C276=1, 1, 0)</f>
      </c>
      <c r="D177" s="26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8">
        <f>SUM(C177:Z177)</f>
      </c>
    </row>
    <row r="178">
      <c r="A178" s="27">
        <f>'List Ticket'!A178</f>
      </c>
      <c r="B178" s="27">
        <f>'List Ticket'!B178</f>
      </c>
      <c r="C178" s="27">
        <f>IF('List Ticket'!C277=1, 1, 0)</f>
      </c>
      <c r="D178" s="26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8">
        <f>SUM(C178:Z178)</f>
      </c>
    </row>
    <row r="179">
      <c r="A179" s="27">
        <f>'List Ticket'!A179</f>
      </c>
      <c r="B179" s="27">
        <f>'List Ticket'!B179</f>
      </c>
      <c r="C179" s="27">
        <f>IF('List Ticket'!C278=1, 1, 0)</f>
      </c>
      <c r="D179" s="26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8">
        <f>SUM(C179:Z179)</f>
      </c>
    </row>
    <row r="180">
      <c r="A180" s="27">
        <f>'List Ticket'!A180</f>
      </c>
      <c r="B180" s="27">
        <f>'List Ticket'!B180</f>
      </c>
      <c r="C180" s="27">
        <f>IF('List Ticket'!C279=1, 1, 0)</f>
      </c>
      <c r="D180" s="26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8">
        <f>SUM(C180:Z180)</f>
      </c>
    </row>
    <row r="181">
      <c r="A181" s="27">
        <f>'List Ticket'!A181</f>
      </c>
      <c r="B181" s="27">
        <f>'List Ticket'!B181</f>
      </c>
      <c r="C181" s="27">
        <f>IF('List Ticket'!C280=1, 1, 0)</f>
      </c>
      <c r="D181" s="26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8">
        <f>SUM(C181:Z181)</f>
      </c>
    </row>
    <row r="182">
      <c r="A182" s="27">
        <f>'List Ticket'!A182</f>
      </c>
      <c r="B182" s="27">
        <f>'List Ticket'!B182</f>
      </c>
      <c r="C182" s="27">
        <f>IF('List Ticket'!C281=1, 1, 0)</f>
      </c>
      <c r="D182" s="26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8">
        <f>SUM(C182:Z182)</f>
      </c>
    </row>
    <row r="183">
      <c r="A183" s="27">
        <f>'List Ticket'!A183</f>
      </c>
      <c r="B183" s="27">
        <f>'List Ticket'!B183</f>
      </c>
      <c r="C183" s="27">
        <f>IF('List Ticket'!C282=1, 1, 0)</f>
      </c>
      <c r="D183" s="26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8">
        <f>SUM(C183:Z183)</f>
      </c>
    </row>
    <row r="184">
      <c r="A184" s="27">
        <f>'List Ticket'!A184</f>
      </c>
      <c r="B184" s="27">
        <f>'List Ticket'!B184</f>
      </c>
      <c r="C184" s="27">
        <f>IF('List Ticket'!C283=1, 1, 0)</f>
      </c>
      <c r="D184" s="26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8">
        <f>SUM(C184:Z184)</f>
      </c>
    </row>
    <row r="185">
      <c r="A185" s="27">
        <f>'List Ticket'!A185</f>
      </c>
      <c r="B185" s="27">
        <f>'List Ticket'!B185</f>
      </c>
      <c r="C185" s="27">
        <f>IF('List Ticket'!C284=1, 1, 0)</f>
      </c>
      <c r="D185" s="26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8">
        <f>SUM(C185:Z185)</f>
      </c>
    </row>
    <row r="186">
      <c r="A186" s="27">
        <f>'List Ticket'!A186</f>
      </c>
      <c r="B186" s="27">
        <f>'List Ticket'!B186</f>
      </c>
      <c r="C186" s="27">
        <f>IF('List Ticket'!C285=1, 1, 0)</f>
      </c>
      <c r="D186" s="26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8">
        <f>SUM(C186:Z186)</f>
      </c>
    </row>
    <row r="187">
      <c r="A187" s="27">
        <f>'List Ticket'!A187</f>
      </c>
      <c r="B187" s="27">
        <f>'List Ticket'!B187</f>
      </c>
      <c r="C187" s="27">
        <f>IF('List Ticket'!C286=1, 1, 0)</f>
      </c>
      <c r="D187" s="26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8">
        <f>SUM(C187:Z187)</f>
      </c>
    </row>
    <row r="188">
      <c r="A188" s="27">
        <f>'List Ticket'!A188</f>
      </c>
      <c r="B188" s="27">
        <f>'List Ticket'!B188</f>
      </c>
      <c r="C188" s="27">
        <f>IF('List Ticket'!C287=1, 1, 0)</f>
      </c>
      <c r="D188" s="26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8">
        <f>SUM(C188:Z188)</f>
      </c>
    </row>
    <row r="189">
      <c r="A189" s="27">
        <f>'List Ticket'!A189</f>
      </c>
      <c r="B189" s="27">
        <f>'List Ticket'!B189</f>
      </c>
      <c r="C189" s="27">
        <f>IF('List Ticket'!C288=1, 1, 0)</f>
      </c>
      <c r="D189" s="26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8">
        <f>SUM(C189:Z189)</f>
      </c>
    </row>
    <row r="190">
      <c r="A190" s="27">
        <f>'List Ticket'!A190</f>
      </c>
      <c r="B190" s="27">
        <f>'List Ticket'!B190</f>
      </c>
      <c r="C190" s="27">
        <f>IF('List Ticket'!C289=1, 1, 0)</f>
      </c>
      <c r="D190" s="26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8">
        <f>SUM(C190:Z190)</f>
      </c>
    </row>
    <row r="191">
      <c r="A191" s="27">
        <f>'List Ticket'!A191</f>
      </c>
      <c r="B191" s="27">
        <f>'List Ticket'!B191</f>
      </c>
      <c r="C191" s="27">
        <f>IF('List Ticket'!C290=1, 1, 0)</f>
      </c>
      <c r="D191" s="26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8">
        <f>SUM(C191:Z191)</f>
      </c>
    </row>
    <row r="192">
      <c r="A192" s="27">
        <f>'List Ticket'!A192</f>
      </c>
      <c r="B192" s="27">
        <f>'List Ticket'!B192</f>
      </c>
      <c r="C192" s="27">
        <f>IF('List Ticket'!C291=1, 1, 0)</f>
      </c>
      <c r="D192" s="26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8">
        <f>SUM(C192:Z192)</f>
      </c>
    </row>
    <row r="193">
      <c r="A193" s="27">
        <f>'List Ticket'!A193</f>
      </c>
      <c r="B193" s="27">
        <f>'List Ticket'!B193</f>
      </c>
      <c r="C193" s="27">
        <f>IF('List Ticket'!C292=1, 1, 0)</f>
      </c>
      <c r="D193" s="26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8">
        <f>SUM(C193:Z193)</f>
      </c>
    </row>
    <row r="194">
      <c r="A194" s="27">
        <f>'List Ticket'!A194</f>
      </c>
      <c r="B194" s="27">
        <f>'List Ticket'!B194</f>
      </c>
      <c r="C194" s="27">
        <f>IF('List Ticket'!C293=1, 1, 0)</f>
      </c>
      <c r="D194" s="26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8">
        <f>SUM(C194:Z194)</f>
      </c>
    </row>
    <row r="195">
      <c r="A195" s="27">
        <f>'List Ticket'!A195</f>
      </c>
      <c r="B195" s="27">
        <f>'List Ticket'!B195</f>
      </c>
      <c r="C195" s="27">
        <f>IF('List Ticket'!C294=1, 1, 0)</f>
      </c>
      <c r="D195" s="26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8">
        <f>SUM(C195:Z195)</f>
      </c>
    </row>
    <row r="196">
      <c r="A196" s="27">
        <f>'List Ticket'!A196</f>
      </c>
      <c r="B196" s="27">
        <f>'List Ticket'!B196</f>
      </c>
      <c r="C196" s="27">
        <f>IF('List Ticket'!C295=1, 1, 0)</f>
      </c>
      <c r="D196" s="26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8">
        <f>SUM(C196:Z196)</f>
      </c>
    </row>
    <row r="197">
      <c r="A197" s="27">
        <f>'List Ticket'!A197</f>
      </c>
      <c r="B197" s="27">
        <f>'List Ticket'!B197</f>
      </c>
      <c r="C197" s="27">
        <f>IF('List Ticket'!C296=1, 1, 0)</f>
      </c>
      <c r="D197" s="26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8">
        <f>SUM(C197:Z197)</f>
      </c>
    </row>
    <row r="198">
      <c r="A198" s="27">
        <f>'List Ticket'!A198</f>
      </c>
      <c r="B198" s="27">
        <f>'List Ticket'!B198</f>
      </c>
      <c r="C198" s="27">
        <f>IF('List Ticket'!C297=1, 1, 0)</f>
      </c>
      <c r="D198" s="26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8">
        <f>SUM(C198:Z198)</f>
      </c>
    </row>
    <row r="199">
      <c r="A199" s="27">
        <f>'List Ticket'!A199</f>
      </c>
      <c r="B199" s="27">
        <f>'List Ticket'!B199</f>
      </c>
      <c r="C199" s="27">
        <f>IF('List Ticket'!C298=1, 1, 0)</f>
      </c>
      <c r="D199" s="26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8">
        <f>SUM(C199:Z199)</f>
      </c>
    </row>
    <row r="200">
      <c r="A200" s="27">
        <f>'List Ticket'!A200</f>
      </c>
      <c r="B200" s="27">
        <f>'List Ticket'!B200</f>
      </c>
      <c r="C200" s="27">
        <f>IF('List Ticket'!C299=1, 1, 0)</f>
      </c>
      <c r="D200" s="26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8">
        <f>SUM(C200:Z200)</f>
      </c>
    </row>
    <row r="201">
      <c r="A201" s="27">
        <f>'List Ticket'!A201</f>
      </c>
      <c r="B201" s="27">
        <f>'List Ticket'!B201</f>
      </c>
      <c r="C201" s="27">
        <f>IF('List Ticket'!C300=1, 1, 0)</f>
      </c>
      <c r="D201" s="26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8">
        <f>SUM(C201:Z201)</f>
      </c>
    </row>
    <row r="202">
      <c r="A202" s="27">
        <f>'List Ticket'!A202</f>
      </c>
      <c r="B202" s="27">
        <f>'List Ticket'!B202</f>
      </c>
      <c r="C202" s="27">
        <f>IF('List Ticket'!C301=1, 1, 0)</f>
      </c>
      <c r="D202" s="26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8">
        <f>SUM(C202:Z202)</f>
      </c>
    </row>
    <row r="203">
      <c r="A203" s="27">
        <f>'List Ticket'!A203</f>
      </c>
      <c r="B203" s="27">
        <f>'List Ticket'!B203</f>
      </c>
      <c r="C203" s="27">
        <f>IF('List Ticket'!C302=1, 1, 0)</f>
      </c>
      <c r="D203" s="26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8">
        <f>SUM(C203:Z203)</f>
      </c>
    </row>
    <row r="204">
      <c r="A204" s="27">
        <f>'List Ticket'!A204</f>
      </c>
      <c r="B204" s="27">
        <f>'List Ticket'!B204</f>
      </c>
      <c r="C204" s="27">
        <f>IF('List Ticket'!C303=1, 1, 0)</f>
      </c>
      <c r="D204" s="26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8">
        <f>SUM(C204:Z204)</f>
      </c>
    </row>
    <row r="205">
      <c r="A205" s="27">
        <f>'List Ticket'!A205</f>
      </c>
      <c r="B205" s="27">
        <f>'List Ticket'!B205</f>
      </c>
      <c r="C205" s="27">
        <f>IF('List Ticket'!C304=1, 1, 0)</f>
      </c>
      <c r="D205" s="26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8">
        <f>SUM(C205:Z205)</f>
      </c>
    </row>
    <row r="206">
      <c r="A206" s="27">
        <f>'List Ticket'!A206</f>
      </c>
      <c r="B206" s="27">
        <f>'List Ticket'!B206</f>
      </c>
      <c r="C206" s="27">
        <f>IF('List Ticket'!C305=1, 1, 0)</f>
      </c>
      <c r="D206" s="26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8">
        <f>SUM(C206:Z206)</f>
      </c>
    </row>
    <row r="207">
      <c r="A207" s="27">
        <f>'List Ticket'!A207</f>
      </c>
      <c r="B207" s="27">
        <f>'List Ticket'!B207</f>
      </c>
      <c r="C207" s="27">
        <f>IF('List Ticket'!C306=1, 1, 0)</f>
      </c>
      <c r="D207" s="26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8">
        <f>SUM(C207:Z207)</f>
      </c>
    </row>
    <row r="208">
      <c r="A208" s="27">
        <f>'List Ticket'!A208</f>
      </c>
      <c r="B208" s="27">
        <f>'List Ticket'!B208</f>
      </c>
      <c r="C208" s="27">
        <f>IF('List Ticket'!C307=1, 1, 0)</f>
      </c>
      <c r="D208" s="26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8">
        <f>SUM(C208:Z208)</f>
      </c>
    </row>
    <row r="209">
      <c r="A209" s="27">
        <f>'List Ticket'!A209</f>
      </c>
      <c r="B209" s="27">
        <f>'List Ticket'!B209</f>
      </c>
      <c r="C209" s="27">
        <f>IF('List Ticket'!C308=1, 1, 0)</f>
      </c>
      <c r="D209" s="26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8">
        <f>SUM(C209:Z209)</f>
      </c>
    </row>
    <row r="210">
      <c r="A210" s="27">
        <f>'List Ticket'!A210</f>
      </c>
      <c r="B210" s="27">
        <f>'List Ticket'!B210</f>
      </c>
      <c r="C210" s="27">
        <f>IF('List Ticket'!C309=1, 1, 0)</f>
      </c>
      <c r="D210" s="26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8">
        <f>SUM(C210:Z210)</f>
      </c>
    </row>
    <row r="211">
      <c r="A211" s="27">
        <f>'List Ticket'!A211</f>
      </c>
      <c r="B211" s="27">
        <f>'List Ticket'!B211</f>
      </c>
      <c r="C211" s="27">
        <f>IF('List Ticket'!C310=1, 1, 0)</f>
      </c>
      <c r="D211" s="26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8">
        <f>SUM(C211:Z211)</f>
      </c>
    </row>
    <row r="212">
      <c r="A212" s="27">
        <f>'List Ticket'!A212</f>
      </c>
      <c r="B212" s="27">
        <f>'List Ticket'!B212</f>
      </c>
      <c r="C212" s="27">
        <f>IF('List Ticket'!C311=1, 1, 0)</f>
      </c>
      <c r="D212" s="26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8">
        <f>SUM(C212:Z212)</f>
      </c>
    </row>
    <row r="213">
      <c r="A213" s="27">
        <f>'List Ticket'!A213</f>
      </c>
      <c r="B213" s="27">
        <f>'List Ticket'!B213</f>
      </c>
      <c r="C213" s="27">
        <f>IF('List Ticket'!C312=1, 1, 0)</f>
      </c>
      <c r="D213" s="26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8">
        <f>SUM(C213:Z213)</f>
      </c>
    </row>
    <row r="214">
      <c r="A214" s="27">
        <f>'List Ticket'!A214</f>
      </c>
      <c r="B214" s="27">
        <f>'List Ticket'!B214</f>
      </c>
      <c r="C214" s="27">
        <f>IF('List Ticket'!C313=1, 1, 0)</f>
      </c>
      <c r="D214" s="26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8">
        <f>SUM(C214:Z214)</f>
      </c>
    </row>
    <row r="215">
      <c r="A215" s="27">
        <f>'List Ticket'!A215</f>
      </c>
      <c r="B215" s="27">
        <f>'List Ticket'!B215</f>
      </c>
      <c r="C215" s="27">
        <f>IF('List Ticket'!C314=1, 1, 0)</f>
      </c>
      <c r="D215" s="26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8">
        <f>SUM(C215:Z215)</f>
      </c>
    </row>
    <row r="216">
      <c r="A216" s="27">
        <f>'List Ticket'!A216</f>
      </c>
      <c r="B216" s="27">
        <f>'List Ticket'!B216</f>
      </c>
      <c r="C216" s="27">
        <f>IF('List Ticket'!C315=1, 1, 0)</f>
      </c>
      <c r="D216" s="26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8">
        <f>SUM(C216:Z216)</f>
      </c>
    </row>
    <row r="217">
      <c r="A217" s="27">
        <f>'List Ticket'!A217</f>
      </c>
      <c r="B217" s="27">
        <f>'List Ticket'!B217</f>
      </c>
      <c r="C217" s="27">
        <f>IF('List Ticket'!C316=1, 1, 0)</f>
      </c>
      <c r="D217" s="26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8">
        <f>SUM(C217:Z217)</f>
      </c>
    </row>
    <row r="218">
      <c r="A218" s="27">
        <f>'List Ticket'!A218</f>
      </c>
      <c r="B218" s="27">
        <f>'List Ticket'!B218</f>
      </c>
      <c r="C218" s="27">
        <f>IF('List Ticket'!C317=1, 1, 0)</f>
      </c>
      <c r="D218" s="26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8">
        <f>SUM(C218:Z218)</f>
      </c>
    </row>
    <row r="219">
      <c r="A219" s="27">
        <f>'List Ticket'!A219</f>
      </c>
      <c r="B219" s="27">
        <f>'List Ticket'!B219</f>
      </c>
      <c r="C219" s="27">
        <f>IF('List Ticket'!C318=1, 1, 0)</f>
      </c>
      <c r="D219" s="26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8">
        <f>SUM(C219:Z219)</f>
      </c>
    </row>
    <row r="220">
      <c r="A220" s="27">
        <f>'List Ticket'!A220</f>
      </c>
      <c r="B220" s="27">
        <f>'List Ticket'!B220</f>
      </c>
      <c r="C220" s="27">
        <f>IF('List Ticket'!C319=1, 1, 0)</f>
      </c>
      <c r="D220" s="26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8">
        <f>SUM(C220:Z220)</f>
      </c>
    </row>
    <row r="221">
      <c r="A221" s="27">
        <f>'List Ticket'!A221</f>
      </c>
      <c r="B221" s="27">
        <f>'List Ticket'!B221</f>
      </c>
      <c r="C221" s="27">
        <f>IF('List Ticket'!C320=1, 1, 0)</f>
      </c>
      <c r="D221" s="26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8">
        <f>SUM(C221:Z221)</f>
      </c>
    </row>
    <row r="222">
      <c r="A222" s="27">
        <f>'List Ticket'!A222</f>
      </c>
      <c r="B222" s="27">
        <f>'List Ticket'!B222</f>
      </c>
      <c r="C222" s="27">
        <f>IF('List Ticket'!C321=1, 1, 0)</f>
      </c>
      <c r="D222" s="26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8">
        <f>SUM(C222:Z222)</f>
      </c>
    </row>
    <row r="223">
      <c r="A223" s="27">
        <f>'List Ticket'!A223</f>
      </c>
      <c r="B223" s="27">
        <f>'List Ticket'!B223</f>
      </c>
      <c r="C223" s="27">
        <f>IF('List Ticket'!C322=1, 1, 0)</f>
      </c>
      <c r="D223" s="26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8">
        <f>SUM(C223:Z223)</f>
      </c>
    </row>
    <row r="224">
      <c r="A224" s="27">
        <f>'List Ticket'!A224</f>
      </c>
      <c r="B224" s="27">
        <f>'List Ticket'!B224</f>
      </c>
      <c r="C224" s="27">
        <f>IF('List Ticket'!C323=1, 1, 0)</f>
      </c>
      <c r="D224" s="26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8">
        <f>SUM(C224:Z224)</f>
      </c>
    </row>
    <row r="225">
      <c r="A225" s="27">
        <f>'List Ticket'!A225</f>
      </c>
      <c r="B225" s="27">
        <f>'List Ticket'!B225</f>
      </c>
      <c r="C225" s="27">
        <f>IF('List Ticket'!C324=1, 1, 0)</f>
      </c>
      <c r="D225" s="26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8">
        <f>SUM(C225:Z225)</f>
      </c>
    </row>
    <row r="226">
      <c r="A226" s="27">
        <f>'List Ticket'!A226</f>
      </c>
      <c r="B226" s="27">
        <f>'List Ticket'!B226</f>
      </c>
      <c r="C226" s="27">
        <f>IF('List Ticket'!C325=1, 1, 0)</f>
      </c>
      <c r="D226" s="26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8">
        <f>SUM(C226:Z226)</f>
      </c>
    </row>
    <row r="227">
      <c r="A227" s="27">
        <f>'List Ticket'!A227</f>
      </c>
      <c r="B227" s="27">
        <f>'List Ticket'!B227</f>
      </c>
      <c r="C227" s="27">
        <f>IF('List Ticket'!C326=1, 1, 0)</f>
      </c>
      <c r="D227" s="26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8">
        <f>SUM(C227:Z227)</f>
      </c>
    </row>
    <row r="228">
      <c r="A228" s="27">
        <f>'List Ticket'!A228</f>
      </c>
      <c r="B228" s="27">
        <f>'List Ticket'!B228</f>
      </c>
      <c r="C228" s="27">
        <f>IF('List Ticket'!C327=1, 1, 0)</f>
      </c>
      <c r="D228" s="26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8">
        <f>SUM(C228:Z228)</f>
      </c>
    </row>
    <row r="229">
      <c r="A229" s="27">
        <f>'List Ticket'!A229</f>
      </c>
      <c r="B229" s="27">
        <f>'List Ticket'!B229</f>
      </c>
      <c r="C229" s="27">
        <f>IF('List Ticket'!C328=1, 1, 0)</f>
      </c>
      <c r="D229" s="26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8">
        <f>SUM(C229:Z229)</f>
      </c>
    </row>
    <row r="230">
      <c r="A230" s="27">
        <f>'List Ticket'!A230</f>
      </c>
      <c r="B230" s="27">
        <f>'List Ticket'!B230</f>
      </c>
      <c r="C230" s="27">
        <f>IF('List Ticket'!C329=1, 1, 0)</f>
      </c>
      <c r="D230" s="26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8">
        <f>SUM(C230:Z230)</f>
      </c>
    </row>
    <row r="231">
      <c r="A231" s="27">
        <f>'List Ticket'!A231</f>
      </c>
      <c r="B231" s="27">
        <f>'List Ticket'!B231</f>
      </c>
      <c r="C231" s="27">
        <f>IF('List Ticket'!C330=1, 1, 0)</f>
      </c>
      <c r="D231" s="26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8">
        <f>SUM(C231:Z231)</f>
      </c>
    </row>
    <row r="232">
      <c r="A232" s="27">
        <f>'List Ticket'!A232</f>
      </c>
      <c r="B232" s="27">
        <f>'List Ticket'!B232</f>
      </c>
      <c r="C232" s="27">
        <f>IF('List Ticket'!C331=1, 1, 0)</f>
      </c>
      <c r="D232" s="26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8">
        <f>SUM(C232:Z232)</f>
      </c>
    </row>
    <row r="233">
      <c r="A233" s="27">
        <f>'List Ticket'!A233</f>
      </c>
      <c r="B233" s="27">
        <f>'List Ticket'!B233</f>
      </c>
      <c r="C233" s="27">
        <f>IF('List Ticket'!C332=1, 1, 0)</f>
      </c>
      <c r="D233" s="26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8">
        <f>SUM(C233:Z233)</f>
      </c>
    </row>
    <row r="234">
      <c r="A234" s="27">
        <f>'List Ticket'!A234</f>
      </c>
      <c r="B234" s="27">
        <f>'List Ticket'!B234</f>
      </c>
      <c r="C234" s="27">
        <f>IF('List Ticket'!C333=1, 1, 0)</f>
      </c>
      <c r="D234" s="26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8">
        <f>SUM(C234:Z234)</f>
      </c>
    </row>
    <row r="235">
      <c r="A235" s="27">
        <f>'List Ticket'!A235</f>
      </c>
      <c r="B235" s="27">
        <f>'List Ticket'!B235</f>
      </c>
      <c r="C235" s="27">
        <f>IF('List Ticket'!C334=1, 1, 0)</f>
      </c>
      <c r="D235" s="26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8">
        <f>SUM(C235:Z235)</f>
      </c>
    </row>
    <row r="236">
      <c r="A236" s="27">
        <f>'List Ticket'!A236</f>
      </c>
      <c r="B236" s="27">
        <f>'List Ticket'!B236</f>
      </c>
      <c r="C236" s="27">
        <f>IF('List Ticket'!C335=1, 1, 0)</f>
      </c>
      <c r="D236" s="26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8">
        <f>SUM(C236:Z236)</f>
      </c>
    </row>
    <row r="237">
      <c r="A237" s="27">
        <f>'List Ticket'!A237</f>
      </c>
      <c r="B237" s="27">
        <f>'List Ticket'!B237</f>
      </c>
      <c r="C237" s="27">
        <f>IF('List Ticket'!C336=1, 1, 0)</f>
      </c>
      <c r="D237" s="26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8">
        <f>SUM(C237:Z237)</f>
      </c>
    </row>
    <row r="238">
      <c r="A238" s="27">
        <f>'List Ticket'!A238</f>
      </c>
      <c r="B238" s="27">
        <f>'List Ticket'!B238</f>
      </c>
      <c r="C238" s="27">
        <f>IF('List Ticket'!C337=1, 1, 0)</f>
      </c>
      <c r="D238" s="26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8">
        <f>SUM(C238:Z238)</f>
      </c>
    </row>
    <row r="239">
      <c r="A239" s="27">
        <f>'List Ticket'!A239</f>
      </c>
      <c r="B239" s="27">
        <f>'List Ticket'!B239</f>
      </c>
      <c r="C239" s="27">
        <f>IF('List Ticket'!C338=1, 1, 0)</f>
      </c>
      <c r="D239" s="26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8">
        <f>SUM(C239:Z239)</f>
      </c>
    </row>
    <row r="240">
      <c r="A240" s="27">
        <f>'List Ticket'!A240</f>
      </c>
      <c r="B240" s="27">
        <f>'List Ticket'!B240</f>
      </c>
      <c r="C240" s="27">
        <f>IF('List Ticket'!C339=1, 1, 0)</f>
      </c>
      <c r="D240" s="26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8">
        <f>SUM(C240:Z240)</f>
      </c>
    </row>
    <row r="241">
      <c r="A241" s="27">
        <f>'List Ticket'!A241</f>
      </c>
      <c r="B241" s="27">
        <f>'List Ticket'!B241</f>
      </c>
      <c r="C241" s="27">
        <f>IF('List Ticket'!C340=1, 1, 0)</f>
      </c>
      <c r="D241" s="26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8">
        <f>SUM(C241:Z241)</f>
      </c>
    </row>
    <row r="242">
      <c r="A242" s="27">
        <f>'List Ticket'!A242</f>
      </c>
      <c r="B242" s="27">
        <f>'List Ticket'!B242</f>
      </c>
      <c r="C242" s="27">
        <f>IF('List Ticket'!C341=1, 1, 0)</f>
      </c>
      <c r="D242" s="26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8">
        <f>SUM(C242:Z242)</f>
      </c>
    </row>
    <row r="243">
      <c r="A243" s="27">
        <f>'List Ticket'!A243</f>
      </c>
      <c r="B243" s="27">
        <f>'List Ticket'!B243</f>
      </c>
      <c r="C243" s="27">
        <f>IF('List Ticket'!C342=1, 1, 0)</f>
      </c>
      <c r="D243" s="26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8">
        <f>SUM(C243:Z243)</f>
      </c>
    </row>
    <row r="244">
      <c r="A244" s="27">
        <f>'List Ticket'!A244</f>
      </c>
      <c r="B244" s="27">
        <f>'List Ticket'!B244</f>
      </c>
      <c r="C244" s="27">
        <f>IF('List Ticket'!C343=1, 1, 0)</f>
      </c>
      <c r="D244" s="26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8">
        <f>SUM(C244:Z244)</f>
      </c>
    </row>
    <row r="245">
      <c r="A245" s="27">
        <f>'List Ticket'!A245</f>
      </c>
      <c r="B245" s="27">
        <f>'List Ticket'!B245</f>
      </c>
      <c r="C245" s="27">
        <f>IF('List Ticket'!C344=1, 1, 0)</f>
      </c>
      <c r="D245" s="26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8">
        <f>SUM(C245:Z245)</f>
      </c>
    </row>
    <row r="246">
      <c r="A246" s="27">
        <f>'List Ticket'!A246</f>
      </c>
      <c r="B246" s="27">
        <f>'List Ticket'!B246</f>
      </c>
      <c r="C246" s="27">
        <f>IF('List Ticket'!C345=1, 1, 0)</f>
      </c>
      <c r="D246" s="26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8">
        <f>SUM(C246:Z246)</f>
      </c>
    </row>
    <row r="247">
      <c r="A247" s="27">
        <f>'List Ticket'!A247</f>
      </c>
      <c r="B247" s="27">
        <f>'List Ticket'!B247</f>
      </c>
      <c r="C247" s="27">
        <f>IF('List Ticket'!C346=1, 1, 0)</f>
      </c>
      <c r="D247" s="26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8">
        <f>SUM(C247:Z247)</f>
      </c>
    </row>
    <row r="248">
      <c r="A248" s="27">
        <f>'List Ticket'!A248</f>
      </c>
      <c r="B248" s="27">
        <f>'List Ticket'!B248</f>
      </c>
      <c r="C248" s="27">
        <f>IF('List Ticket'!C347=1, 1, 0)</f>
      </c>
      <c r="D248" s="26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8">
        <f>SUM(C248:Z248)</f>
      </c>
    </row>
    <row r="249">
      <c r="A249" s="27">
        <f>'List Ticket'!A249</f>
      </c>
      <c r="B249" s="27">
        <f>'List Ticket'!B249</f>
      </c>
      <c r="C249" s="27">
        <f>IF('List Ticket'!C348=1, 1, 0)</f>
      </c>
      <c r="D249" s="26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8">
        <f>SUM(C249:Z249)</f>
      </c>
    </row>
    <row r="250">
      <c r="A250" s="27">
        <f>'List Ticket'!A250</f>
      </c>
      <c r="B250" s="27">
        <f>'List Ticket'!B250</f>
      </c>
      <c r="C250" s="27">
        <f>IF('List Ticket'!C349=1, 1, 0)</f>
      </c>
      <c r="D250" s="26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8">
        <f>SUM(C250:Z250)</f>
      </c>
    </row>
    <row r="251">
      <c r="A251" s="27">
        <f>'List Ticket'!A251</f>
      </c>
      <c r="B251" s="27">
        <f>'List Ticket'!B251</f>
      </c>
      <c r="C251" s="27">
        <f>IF('List Ticket'!C350=1, 1, 0)</f>
      </c>
      <c r="D251" s="26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8">
        <f>SUM(C251:Z251)</f>
      </c>
    </row>
    <row r="252">
      <c r="A252" s="27">
        <f>'List Ticket'!A252</f>
      </c>
      <c r="B252" s="27">
        <f>'List Ticket'!B252</f>
      </c>
      <c r="C252" s="27">
        <f>IF('List Ticket'!C351=1, 1, 0)</f>
      </c>
      <c r="D252" s="26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8">
        <f>SUM(C252:Z252)</f>
      </c>
    </row>
    <row r="253">
      <c r="A253" s="27">
        <f>'List Ticket'!A253</f>
      </c>
      <c r="B253" s="27">
        <f>'List Ticket'!B253</f>
      </c>
      <c r="C253" s="27">
        <f>IF('List Ticket'!C352=1, 1, 0)</f>
      </c>
      <c r="D253" s="26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8">
        <f>SUM(C253:Z253)</f>
      </c>
    </row>
    <row r="254">
      <c r="A254" s="27">
        <f>'List Ticket'!A254</f>
      </c>
      <c r="B254" s="27">
        <f>'List Ticket'!B254</f>
      </c>
      <c r="C254" s="27">
        <f>IF('List Ticket'!C353=1, 1, 0)</f>
      </c>
      <c r="D254" s="26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8">
        <f>SUM(C254:Z254)</f>
      </c>
    </row>
    <row r="255">
      <c r="A255" s="27">
        <f>'List Ticket'!A255</f>
      </c>
      <c r="B255" s="27">
        <f>'List Ticket'!B255</f>
      </c>
      <c r="C255" s="27">
        <f>IF('List Ticket'!C354=1, 1, 0)</f>
      </c>
      <c r="D255" s="26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8">
        <f>SUM(C255:Z255)</f>
      </c>
    </row>
    <row r="256">
      <c r="A256" s="27">
        <f>'List Ticket'!A256</f>
      </c>
      <c r="B256" s="27">
        <f>'List Ticket'!B256</f>
      </c>
      <c r="C256" s="27">
        <f>IF('List Ticket'!C355=1, 1, 0)</f>
      </c>
      <c r="D256" s="26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8">
        <f>SUM(C256:Z256)</f>
      </c>
    </row>
    <row r="257">
      <c r="A257" s="27">
        <f>'List Ticket'!A257</f>
      </c>
      <c r="B257" s="27">
        <f>'List Ticket'!B257</f>
      </c>
      <c r="C257" s="27">
        <f>IF('List Ticket'!C356=1, 1, 0)</f>
      </c>
      <c r="D257" s="26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8">
        <f>SUM(C257:Z257)</f>
      </c>
    </row>
    <row r="258">
      <c r="A258" s="27">
        <f>'List Ticket'!A258</f>
      </c>
      <c r="B258" s="27">
        <f>'List Ticket'!B258</f>
      </c>
      <c r="C258" s="27">
        <f>IF('List Ticket'!C357=1, 1, 0)</f>
      </c>
      <c r="D258" s="26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8">
        <f>SUM(C258:Z258)</f>
      </c>
    </row>
    <row r="259">
      <c r="A259" s="27">
        <f>'List Ticket'!A259</f>
      </c>
      <c r="B259" s="27">
        <f>'List Ticket'!B259</f>
      </c>
      <c r="C259" s="27">
        <f>IF('List Ticket'!C358=1, 1, 0)</f>
      </c>
      <c r="D259" s="26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8">
        <f>SUM(C259:Z259)</f>
      </c>
    </row>
    <row r="260">
      <c r="A260" s="27">
        <f>'List Ticket'!A260</f>
      </c>
      <c r="B260" s="27">
        <f>'List Ticket'!B260</f>
      </c>
      <c r="C260" s="27">
        <f>IF('List Ticket'!C359=1, 1, 0)</f>
      </c>
      <c r="D260" s="26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8">
        <f>SUM(C260:Z260)</f>
      </c>
    </row>
    <row r="261">
      <c r="A261" s="27">
        <f>'List Ticket'!A261</f>
      </c>
      <c r="B261" s="27">
        <f>'List Ticket'!B261</f>
      </c>
      <c r="C261" s="27">
        <f>IF('List Ticket'!C360=1, 1, 0)</f>
      </c>
      <c r="D261" s="26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8">
        <f>SUM(C261:Z261)</f>
      </c>
    </row>
    <row r="262">
      <c r="A262" s="27">
        <f>'List Ticket'!A262</f>
      </c>
      <c r="B262" s="27">
        <f>'List Ticket'!B262</f>
      </c>
      <c r="C262" s="27">
        <f>IF('List Ticket'!C361=1, 1, 0)</f>
      </c>
      <c r="D262" s="26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8">
        <f>SUM(C262:Z262)</f>
      </c>
    </row>
    <row r="263">
      <c r="A263" s="27">
        <f>'List Ticket'!A263</f>
      </c>
      <c r="B263" s="27">
        <f>'List Ticket'!B263</f>
      </c>
      <c r="C263" s="27">
        <f>IF('List Ticket'!C362=1, 1, 0)</f>
      </c>
      <c r="D263" s="26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8">
        <f>SUM(C263:Z263)</f>
      </c>
    </row>
    <row r="264">
      <c r="A264" s="27">
        <f>'List Ticket'!A264</f>
      </c>
      <c r="B264" s="27">
        <f>'List Ticket'!B264</f>
      </c>
      <c r="C264" s="27">
        <f>IF('List Ticket'!C363=1, 1, 0)</f>
      </c>
      <c r="D264" s="26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8">
        <f>SUM(C264:Z264)</f>
      </c>
    </row>
    <row r="265">
      <c r="A265" s="27">
        <f>'List Ticket'!A265</f>
      </c>
      <c r="B265" s="27">
        <f>'List Ticket'!B265</f>
      </c>
      <c r="C265" s="27">
        <f>IF('List Ticket'!C364=1, 1, 0)</f>
      </c>
      <c r="D265" s="26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8">
        <f>SUM(C265:Z265)</f>
      </c>
    </row>
    <row r="266">
      <c r="A266" s="27">
        <f>'List Ticket'!A266</f>
      </c>
      <c r="B266" s="27">
        <f>'List Ticket'!B266</f>
      </c>
      <c r="C266" s="27">
        <f>IF('List Ticket'!C365=1, 1, 0)</f>
      </c>
      <c r="D266" s="26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8">
        <f>SUM(C266:Z266)</f>
      </c>
    </row>
    <row r="267">
      <c r="A267" s="27">
        <f>'List Ticket'!A267</f>
      </c>
      <c r="B267" s="27">
        <f>'List Ticket'!B267</f>
      </c>
      <c r="C267" s="27">
        <f>IF('List Ticket'!C366=1, 1, 0)</f>
      </c>
      <c r="D267" s="26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8">
        <f>SUM(C267:Z267)</f>
      </c>
    </row>
    <row r="268">
      <c r="A268" s="27">
        <f>'List Ticket'!A268</f>
      </c>
      <c r="B268" s="27">
        <f>'List Ticket'!B268</f>
      </c>
      <c r="C268" s="27">
        <f>IF('List Ticket'!C367=1, 1, 0)</f>
      </c>
      <c r="D268" s="26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8">
        <f>SUM(C268:Z268)</f>
      </c>
    </row>
    <row r="269">
      <c r="A269" s="27">
        <f>'List Ticket'!A269</f>
      </c>
      <c r="B269" s="27">
        <f>'List Ticket'!B269</f>
      </c>
      <c r="C269" s="27">
        <f>IF('List Ticket'!C368=1, 1, 0)</f>
      </c>
      <c r="D269" s="26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8">
        <f>SUM(C269:Z269)</f>
      </c>
    </row>
    <row r="270">
      <c r="A270" s="27">
        <f>'List Ticket'!A270</f>
      </c>
      <c r="B270" s="27">
        <f>'List Ticket'!B270</f>
      </c>
      <c r="C270" s="27">
        <f>IF('List Ticket'!C369=1, 1, 0)</f>
      </c>
      <c r="D270" s="26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8">
        <f>SUM(C270:Z270)</f>
      </c>
    </row>
    <row r="271">
      <c r="A271" s="27">
        <f>'List Ticket'!A271</f>
      </c>
      <c r="B271" s="27">
        <f>'List Ticket'!B271</f>
      </c>
      <c r="C271" s="27">
        <f>IF('List Ticket'!C370=1, 1, 0)</f>
      </c>
      <c r="D271" s="26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8">
        <f>SUM(C271:Z271)</f>
      </c>
    </row>
    <row r="272">
      <c r="A272" s="27">
        <f>'List Ticket'!A272</f>
      </c>
      <c r="B272" s="27">
        <f>'List Ticket'!B272</f>
      </c>
      <c r="C272" s="27">
        <f>IF('List Ticket'!C371=1, 1, 0)</f>
      </c>
      <c r="D272" s="26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8">
        <f>SUM(C272:Z272)</f>
      </c>
    </row>
    <row r="273">
      <c r="A273" s="27">
        <f>'List Ticket'!A273</f>
      </c>
      <c r="B273" s="27">
        <f>'List Ticket'!B273</f>
      </c>
      <c r="C273" s="27">
        <f>IF('List Ticket'!C372=1, 1, 0)</f>
      </c>
      <c r="D273" s="26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8">
        <f>SUM(C273:Z273)</f>
      </c>
    </row>
    <row r="274">
      <c r="A274" s="27">
        <f>'List Ticket'!A274</f>
      </c>
      <c r="B274" s="27">
        <f>'List Ticket'!B274</f>
      </c>
      <c r="C274" s="27">
        <f>IF('List Ticket'!C373=1, 1, 0)</f>
      </c>
      <c r="D274" s="26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8">
        <f>SUM(C274:Z274)</f>
      </c>
    </row>
    <row r="275">
      <c r="A275" s="27">
        <f>'List Ticket'!A275</f>
      </c>
      <c r="B275" s="27">
        <f>'List Ticket'!B275</f>
      </c>
      <c r="C275" s="27">
        <f>IF('List Ticket'!C374=1, 1, 0)</f>
      </c>
      <c r="D275" s="26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8">
        <f>SUM(C275:Z275)</f>
      </c>
    </row>
    <row r="276">
      <c r="A276" s="27">
        <f>'List Ticket'!A276</f>
      </c>
      <c r="B276" s="27">
        <f>'List Ticket'!B276</f>
      </c>
      <c r="C276" s="27">
        <f>IF('List Ticket'!C375=1, 1, 0)</f>
      </c>
      <c r="D276" s="26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8">
        <f>SUM(C276:Z276)</f>
      </c>
    </row>
    <row r="277">
      <c r="A277" s="27">
        <f>'List Ticket'!A277</f>
      </c>
      <c r="B277" s="27">
        <f>'List Ticket'!B277</f>
      </c>
      <c r="C277" s="27">
        <f>IF('List Ticket'!C376=1, 1, 0)</f>
      </c>
      <c r="D277" s="26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8">
        <f>SUM(C277:Z277)</f>
      </c>
    </row>
    <row r="278">
      <c r="A278" s="27">
        <f>'List Ticket'!A278</f>
      </c>
      <c r="B278" s="27">
        <f>'List Ticket'!B278</f>
      </c>
      <c r="C278" s="27">
        <f>IF('List Ticket'!C377=1, 1, 0)</f>
      </c>
      <c r="D278" s="26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8">
        <f>SUM(C278:Z278)</f>
      </c>
    </row>
    <row r="279">
      <c r="A279" s="27">
        <f>'List Ticket'!A279</f>
      </c>
      <c r="B279" s="27">
        <f>'List Ticket'!B279</f>
      </c>
      <c r="C279" s="27">
        <f>IF('List Ticket'!C378=1, 1, 0)</f>
      </c>
      <c r="D279" s="26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8">
        <f>SUM(C279:Z279)</f>
      </c>
    </row>
    <row r="280">
      <c r="A280" s="27">
        <f>'List Ticket'!A280</f>
      </c>
      <c r="B280" s="27">
        <f>'List Ticket'!B280</f>
      </c>
      <c r="C280" s="27">
        <f>IF('List Ticket'!C379=1, 1, 0)</f>
      </c>
      <c r="D280" s="26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8">
        <f>SUM(C280:Z280)</f>
      </c>
    </row>
    <row r="281">
      <c r="A281" s="27">
        <f>'List Ticket'!A281</f>
      </c>
      <c r="B281" s="27">
        <f>'List Ticket'!B281</f>
      </c>
      <c r="C281" s="27">
        <f>IF('List Ticket'!C380=1, 1, 0)</f>
      </c>
      <c r="D281" s="26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8">
        <f>SUM(C281:Z281)</f>
      </c>
    </row>
    <row r="282">
      <c r="A282" s="27">
        <f>'List Ticket'!A282</f>
      </c>
      <c r="B282" s="27">
        <f>'List Ticket'!B282</f>
      </c>
      <c r="C282" s="27">
        <f>IF('List Ticket'!C381=1, 1, 0)</f>
      </c>
      <c r="D282" s="26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8">
        <f>SUM(C282:Z282)</f>
      </c>
    </row>
    <row r="283">
      <c r="A283" s="27">
        <f>'List Ticket'!A283</f>
      </c>
      <c r="B283" s="27">
        <f>'List Ticket'!B283</f>
      </c>
      <c r="C283" s="27">
        <f>IF('List Ticket'!C382=1, 1, 0)</f>
      </c>
      <c r="D283" s="26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8">
        <f>SUM(C283:Z283)</f>
      </c>
    </row>
    <row r="284">
      <c r="A284" s="27">
        <f>'List Ticket'!A284</f>
      </c>
      <c r="B284" s="27">
        <f>'List Ticket'!B284</f>
      </c>
      <c r="C284" s="27">
        <f>IF('List Ticket'!C383=1, 1, 0)</f>
      </c>
      <c r="D284" s="26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8">
        <f>SUM(C284:Z284)</f>
      </c>
    </row>
    <row r="285">
      <c r="A285" s="27">
        <f>'List Ticket'!A285</f>
      </c>
      <c r="B285" s="27">
        <f>'List Ticket'!B285</f>
      </c>
      <c r="C285" s="27">
        <f>IF('List Ticket'!C384=1, 1, 0)</f>
      </c>
      <c r="D285" s="26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8">
        <f>SUM(C285:Z285)</f>
      </c>
    </row>
    <row r="286">
      <c r="A286" s="27">
        <f>'List Ticket'!A286</f>
      </c>
      <c r="B286" s="27">
        <f>'List Ticket'!B286</f>
      </c>
      <c r="C286" s="27">
        <f>IF('List Ticket'!C385=1, 1, 0)</f>
      </c>
      <c r="D286" s="26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8">
        <f>SUM(C286:Z286)</f>
      </c>
    </row>
    <row r="287">
      <c r="A287" s="27">
        <f>'List Ticket'!A287</f>
      </c>
      <c r="B287" s="27">
        <f>'List Ticket'!B287</f>
      </c>
      <c r="C287" s="27">
        <f>IF('List Ticket'!C386=1, 1, 0)</f>
      </c>
      <c r="D287" s="26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8">
        <f>SUM(C287:Z287)</f>
      </c>
    </row>
    <row r="288">
      <c r="A288" s="27">
        <f>'List Ticket'!A288</f>
      </c>
      <c r="B288" s="27">
        <f>'List Ticket'!B288</f>
      </c>
      <c r="C288" s="27">
        <f>IF('List Ticket'!C387=1, 1, 0)</f>
      </c>
      <c r="D288" s="26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8">
        <f>SUM(C288:Z288)</f>
      </c>
    </row>
    <row r="289">
      <c r="A289" s="27">
        <f>'List Ticket'!A289</f>
      </c>
      <c r="B289" s="27">
        <f>'List Ticket'!B289</f>
      </c>
      <c r="C289" s="27">
        <f>IF('List Ticket'!C388=1, 1, 0)</f>
      </c>
      <c r="D289" s="26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8">
        <f>SUM(C289:Z289)</f>
      </c>
    </row>
    <row r="290">
      <c r="A290" s="27">
        <f>'List Ticket'!A290</f>
      </c>
      <c r="B290" s="27">
        <f>'List Ticket'!B290</f>
      </c>
      <c r="C290" s="27">
        <f>IF('List Ticket'!C389=1, 1, 0)</f>
      </c>
      <c r="D290" s="26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8">
        <f>SUM(C290:Z290)</f>
      </c>
    </row>
    <row r="291">
      <c r="A291" s="27">
        <f>'List Ticket'!A291</f>
      </c>
      <c r="B291" s="27">
        <f>'List Ticket'!B291</f>
      </c>
      <c r="C291" s="27">
        <f>IF('List Ticket'!C390=1, 1, 0)</f>
      </c>
      <c r="D291" s="26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8">
        <f>SUM(C291:Z291)</f>
      </c>
    </row>
    <row r="292">
      <c r="A292" s="27">
        <f>'List Ticket'!A292</f>
      </c>
      <c r="B292" s="27">
        <f>'List Ticket'!B292</f>
      </c>
      <c r="C292" s="27">
        <f>IF('List Ticket'!C391=1, 1, 0)</f>
      </c>
      <c r="D292" s="26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8">
        <f>SUM(C292:Z292)</f>
      </c>
    </row>
    <row r="293">
      <c r="A293" s="27">
        <f>'List Ticket'!A293</f>
      </c>
      <c r="B293" s="27">
        <f>'List Ticket'!B293</f>
      </c>
      <c r="C293" s="27">
        <f>IF('List Ticket'!C392=1, 1, 0)</f>
      </c>
      <c r="D293" s="26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8">
        <f>SUM(C293:Z293)</f>
      </c>
    </row>
    <row r="294">
      <c r="A294" s="27">
        <f>'List Ticket'!A294</f>
      </c>
      <c r="B294" s="27">
        <f>'List Ticket'!B294</f>
      </c>
      <c r="C294" s="27">
        <f>IF('List Ticket'!C393=1, 1, 0)</f>
      </c>
      <c r="D294" s="26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8">
        <f>SUM(C294:Z294)</f>
      </c>
    </row>
    <row r="295">
      <c r="A295" s="27">
        <f>'List Ticket'!A295</f>
      </c>
      <c r="B295" s="27">
        <f>'List Ticket'!B295</f>
      </c>
      <c r="C295" s="27">
        <f>IF('List Ticket'!C394=1, 1, 0)</f>
      </c>
      <c r="D295" s="26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8">
        <f>SUM(C295:Z295)</f>
      </c>
    </row>
    <row r="296">
      <c r="A296" s="27">
        <f>'List Ticket'!A296</f>
      </c>
      <c r="B296" s="27">
        <f>'List Ticket'!B296</f>
      </c>
      <c r="C296" s="27">
        <f>IF('List Ticket'!C395=1, 1, 0)</f>
      </c>
      <c r="D296" s="26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8">
        <f>SUM(C296:Z296)</f>
      </c>
    </row>
    <row r="297">
      <c r="A297" s="27">
        <f>'List Ticket'!A297</f>
      </c>
      <c r="B297" s="27">
        <f>'List Ticket'!B297</f>
      </c>
      <c r="C297" s="27">
        <f>IF('List Ticket'!C396=1, 1, 0)</f>
      </c>
      <c r="D297" s="26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8">
        <f>SUM(C297:Z297)</f>
      </c>
    </row>
    <row r="298">
      <c r="A298" s="27">
        <f>'List Ticket'!A298</f>
      </c>
      <c r="B298" s="27">
        <f>'List Ticket'!B298</f>
      </c>
      <c r="C298" s="27">
        <f>IF('List Ticket'!C397=1, 1, 0)</f>
      </c>
      <c r="D298" s="26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8">
        <f>SUM(C298:Z298)</f>
      </c>
    </row>
    <row r="299">
      <c r="A299" s="27">
        <f>'List Ticket'!A299</f>
      </c>
      <c r="B299" s="27">
        <f>'List Ticket'!B299</f>
      </c>
      <c r="C299" s="27">
        <f>IF('List Ticket'!C398=1, 1, 0)</f>
      </c>
      <c r="D299" s="26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8">
        <f>SUM(C299:Z299)</f>
      </c>
    </row>
    <row r="300">
      <c r="A300" s="27">
        <f>'List Ticket'!A300</f>
      </c>
      <c r="B300" s="27">
        <f>'List Ticket'!B300</f>
      </c>
      <c r="C300" s="27">
        <f>IF('List Ticket'!C399=1, 1, 0)</f>
      </c>
      <c r="D300" s="26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8">
        <f>SUM(C300:Z300)</f>
      </c>
    </row>
    <row r="301">
      <c r="A301" s="27">
        <f>'List Ticket'!A301</f>
      </c>
      <c r="B301" s="27">
        <f>'List Ticket'!B301</f>
      </c>
      <c r="C301" s="27">
        <f>IF('List Ticket'!C400=1, 1, 0)</f>
      </c>
      <c r="D301" s="26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8">
        <f>SUM(C301:Z301)</f>
      </c>
    </row>
    <row r="302">
      <c r="A302" s="27">
        <f>'List Ticket'!A302</f>
      </c>
      <c r="B302" s="27">
        <f>'List Ticket'!B302</f>
      </c>
      <c r="C302" s="27">
        <f>IF('List Ticket'!C401=1, 1, 0)</f>
      </c>
      <c r="D302" s="26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8">
        <f>SUM(C302:Z302)</f>
      </c>
    </row>
    <row r="303">
      <c r="A303" s="27">
        <f>'List Ticket'!A303</f>
      </c>
      <c r="B303" s="27">
        <f>'List Ticket'!B303</f>
      </c>
      <c r="C303" s="27">
        <f>IF('List Ticket'!C402=1, 1, 0)</f>
      </c>
      <c r="D303" s="26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8">
        <f>SUM(C303:Z303)</f>
      </c>
    </row>
    <row r="304">
      <c r="A304" s="27">
        <f>'List Ticket'!A304</f>
      </c>
      <c r="B304" s="27">
        <f>'List Ticket'!B304</f>
      </c>
      <c r="C304" s="27">
        <f>IF('List Ticket'!C403=1, 1, 0)</f>
      </c>
      <c r="D304" s="26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8">
        <f>SUM(C304:Z304)</f>
      </c>
    </row>
    <row r="305">
      <c r="A305" s="27">
        <f>'List Ticket'!A305</f>
      </c>
      <c r="B305" s="27">
        <f>'List Ticket'!B305</f>
      </c>
      <c r="C305" s="27">
        <f>IF('List Ticket'!C404=1, 1, 0)</f>
      </c>
      <c r="D305" s="26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8">
        <f>SUM(C305:Z305)</f>
      </c>
    </row>
    <row r="306">
      <c r="A306" s="27">
        <f>'List Ticket'!A306</f>
      </c>
      <c r="B306" s="27">
        <f>'List Ticket'!B306</f>
      </c>
      <c r="C306" s="27">
        <f>IF('List Ticket'!C405=1, 1, 0)</f>
      </c>
      <c r="D306" s="26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8">
        <f>SUM(C306:Z306)</f>
      </c>
    </row>
    <row r="307">
      <c r="A307" s="27">
        <f>'List Ticket'!A307</f>
      </c>
      <c r="B307" s="27">
        <f>'List Ticket'!B307</f>
      </c>
      <c r="C307" s="27">
        <f>IF('List Ticket'!C406=1, 1, 0)</f>
      </c>
      <c r="D307" s="26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8">
        <f>SUM(C307:Z307)</f>
      </c>
    </row>
    <row r="308">
      <c r="A308" s="27">
        <f>'List Ticket'!A308</f>
      </c>
      <c r="B308" s="27">
        <f>'List Ticket'!B308</f>
      </c>
      <c r="C308" s="27">
        <f>IF('List Ticket'!C407=1, 1, 0)</f>
      </c>
      <c r="D308" s="26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8">
        <f>SUM(C308:Z308)</f>
      </c>
    </row>
    <row r="309">
      <c r="A309" s="27">
        <f>'List Ticket'!A309</f>
      </c>
      <c r="B309" s="27">
        <f>'List Ticket'!B309</f>
      </c>
      <c r="C309" s="27">
        <f>IF('List Ticket'!C408=1, 1, 0)</f>
      </c>
      <c r="D309" s="26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8">
        <f>SUM(C309:Z309)</f>
      </c>
    </row>
    <row r="310">
      <c r="A310" s="27">
        <f>'List Ticket'!A310</f>
      </c>
      <c r="B310" s="27">
        <f>'List Ticket'!B310</f>
      </c>
      <c r="C310" s="27">
        <f>IF('List Ticket'!C409=1, 1, 0)</f>
      </c>
      <c r="D310" s="26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8">
        <f>SUM(C310:Z310)</f>
      </c>
    </row>
    <row r="311">
      <c r="A311" s="27">
        <f>'List Ticket'!A311</f>
      </c>
      <c r="B311" s="27">
        <f>'List Ticket'!B311</f>
      </c>
      <c r="C311" s="27">
        <f>IF('List Ticket'!C410=1, 1, 0)</f>
      </c>
      <c r="D311" s="26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8">
        <f>SUM(C311:Z311)</f>
      </c>
    </row>
    <row r="312">
      <c r="A312" s="27">
        <f>'List Ticket'!A312</f>
      </c>
      <c r="B312" s="27">
        <f>'List Ticket'!B312</f>
      </c>
      <c r="C312" s="27">
        <f>IF('List Ticket'!C411=1, 1, 0)</f>
      </c>
      <c r="D312" s="26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8">
        <f>SUM(C312:Z312)</f>
      </c>
    </row>
    <row r="313">
      <c r="A313" s="27">
        <f>'List Ticket'!A313</f>
      </c>
      <c r="B313" s="27">
        <f>'List Ticket'!B313</f>
      </c>
      <c r="C313" s="27">
        <f>IF('List Ticket'!C412=1, 1, 0)</f>
      </c>
      <c r="D313" s="26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8">
        <f>SUM(C313:Z313)</f>
      </c>
    </row>
    <row r="314">
      <c r="A314" s="27">
        <f>'List Ticket'!A314</f>
      </c>
      <c r="B314" s="27">
        <f>'List Ticket'!B314</f>
      </c>
      <c r="C314" s="27">
        <f>IF('List Ticket'!C413=1, 1, 0)</f>
      </c>
      <c r="D314" s="26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8">
        <f>SUM(C314:Z314)</f>
      </c>
    </row>
    <row r="315">
      <c r="A315" s="27">
        <f>'List Ticket'!A315</f>
      </c>
      <c r="B315" s="27">
        <f>'List Ticket'!B315</f>
      </c>
      <c r="C315" s="27">
        <f>IF('List Ticket'!C414=1, 1, 0)</f>
      </c>
      <c r="D315" s="26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8">
        <f>SUM(C315:Z315)</f>
      </c>
    </row>
    <row r="316">
      <c r="A316" s="27">
        <f>'List Ticket'!A316</f>
      </c>
      <c r="B316" s="27">
        <f>'List Ticket'!B316</f>
      </c>
      <c r="C316" s="27">
        <f>IF('List Ticket'!C415=1, 1, 0)</f>
      </c>
      <c r="D316" s="26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8">
        <f>SUM(C316:Z316)</f>
      </c>
    </row>
    <row r="317">
      <c r="A317" s="27">
        <f>'List Ticket'!A317</f>
      </c>
      <c r="B317" s="27">
        <f>'List Ticket'!B317</f>
      </c>
      <c r="C317" s="27">
        <f>IF('List Ticket'!C416=1, 1, 0)</f>
      </c>
      <c r="D317" s="26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8">
        <f>SUM(C317:Z317)</f>
      </c>
    </row>
    <row r="318">
      <c r="A318" s="27">
        <f>'List Ticket'!A318</f>
      </c>
      <c r="B318" s="27">
        <f>'List Ticket'!B318</f>
      </c>
      <c r="C318" s="27">
        <f>IF('List Ticket'!C417=1, 1, 0)</f>
      </c>
      <c r="D318" s="26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8">
        <f>SUM(C318:Z318)</f>
      </c>
    </row>
    <row r="319">
      <c r="A319" s="27">
        <f>'List Ticket'!A319</f>
      </c>
      <c r="B319" s="27">
        <f>'List Ticket'!B319</f>
      </c>
      <c r="C319" s="27">
        <f>IF('List Ticket'!C418=1, 1, 0)</f>
      </c>
      <c r="D319" s="26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8">
        <f>SUM(C319:Z319)</f>
      </c>
    </row>
    <row r="320">
      <c r="A320" s="27">
        <f>'List Ticket'!A320</f>
      </c>
      <c r="B320" s="27">
        <f>'List Ticket'!B320</f>
      </c>
      <c r="C320" s="27">
        <f>IF('List Ticket'!C419=1, 1, 0)</f>
      </c>
      <c r="D320" s="26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8">
        <f>SUM(C320:Z320)</f>
      </c>
    </row>
    <row r="321">
      <c r="A321" s="27">
        <f>'List Ticket'!A321</f>
      </c>
      <c r="B321" s="27">
        <f>'List Ticket'!B321</f>
      </c>
      <c r="C321" s="27">
        <f>IF('List Ticket'!C420=1, 1, 0)</f>
      </c>
      <c r="D321" s="26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8">
        <f>SUM(C321:Z321)</f>
      </c>
    </row>
    <row r="322">
      <c r="A322" s="27">
        <f>'List Ticket'!A322</f>
      </c>
      <c r="B322" s="27">
        <f>'List Ticket'!B322</f>
      </c>
      <c r="C322" s="27">
        <f>IF('List Ticket'!C421=1, 1, 0)</f>
      </c>
      <c r="D322" s="26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8">
        <f>SUM(C322:Z322)</f>
      </c>
    </row>
    <row r="323">
      <c r="A323" s="27">
        <f>'List Ticket'!A323</f>
      </c>
      <c r="B323" s="27">
        <f>'List Ticket'!B323</f>
      </c>
      <c r="C323" s="27">
        <f>IF('List Ticket'!C422=1, 1, 0)</f>
      </c>
      <c r="D323" s="26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8">
        <f>SUM(C323:Z323)</f>
      </c>
    </row>
    <row r="324">
      <c r="A324" s="27">
        <f>'List Ticket'!A324</f>
      </c>
      <c r="B324" s="27">
        <f>'List Ticket'!B324</f>
      </c>
      <c r="C324" s="27">
        <f>IF('List Ticket'!C423=1, 1, 0)</f>
      </c>
      <c r="D324" s="26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8">
        <f>SUM(C324:Z324)</f>
      </c>
    </row>
    <row r="325">
      <c r="A325" s="27">
        <f>'List Ticket'!A325</f>
      </c>
      <c r="B325" s="27">
        <f>'List Ticket'!B325</f>
      </c>
      <c r="C325" s="27">
        <f>IF('List Ticket'!C424=1, 1, 0)</f>
      </c>
      <c r="D325" s="26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8">
        <f>SUM(C325:Z325)</f>
      </c>
    </row>
    <row r="326">
      <c r="A326" s="27">
        <f>'List Ticket'!A326</f>
      </c>
      <c r="B326" s="27">
        <f>'List Ticket'!B326</f>
      </c>
      <c r="C326" s="27">
        <f>IF('List Ticket'!C425=1, 1, 0)</f>
      </c>
      <c r="D326" s="26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8">
        <f>SUM(C326:Z326)</f>
      </c>
    </row>
    <row r="327">
      <c r="A327" s="27">
        <f>'List Ticket'!A327</f>
      </c>
      <c r="B327" s="27">
        <f>'List Ticket'!B327</f>
      </c>
      <c r="C327" s="27">
        <f>IF('List Ticket'!C426=1, 1, 0)</f>
      </c>
      <c r="D327" s="26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8">
        <f>SUM(C327:Z327)</f>
      </c>
    </row>
    <row r="328">
      <c r="A328" s="27">
        <f>'List Ticket'!A328</f>
      </c>
      <c r="B328" s="27">
        <f>'List Ticket'!B328</f>
      </c>
      <c r="C328" s="27">
        <f>IF('List Ticket'!C427=1, 1, 0)</f>
      </c>
      <c r="D328" s="26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8">
        <f>SUM(C328:Z328)</f>
      </c>
    </row>
    <row r="329">
      <c r="A329" s="27">
        <f>'List Ticket'!A329</f>
      </c>
      <c r="B329" s="27">
        <f>'List Ticket'!B329</f>
      </c>
      <c r="C329" s="27">
        <f>IF('List Ticket'!C428=1, 1, 0)</f>
      </c>
      <c r="D329" s="26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8">
        <f>SUM(C329:Z329)</f>
      </c>
    </row>
    <row r="330">
      <c r="A330" s="27">
        <f>'List Ticket'!A330</f>
      </c>
      <c r="B330" s="27">
        <f>'List Ticket'!B330</f>
      </c>
      <c r="C330" s="27">
        <f>IF('List Ticket'!C429=1, 1, 0)</f>
      </c>
      <c r="D330" s="26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8">
        <f>SUM(C330:Z330)</f>
      </c>
    </row>
    <row r="331">
      <c r="A331" s="27">
        <f>'List Ticket'!A331</f>
      </c>
      <c r="B331" s="27">
        <f>'List Ticket'!B331</f>
      </c>
      <c r="C331" s="27">
        <f>IF('List Ticket'!C430=1, 1, 0)</f>
      </c>
      <c r="D331" s="26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8">
        <f>SUM(C331:Z331)</f>
      </c>
    </row>
    <row r="332">
      <c r="A332" s="27">
        <f>'List Ticket'!A332</f>
      </c>
      <c r="B332" s="27">
        <f>'List Ticket'!B332</f>
      </c>
      <c r="C332" s="27">
        <f>IF('List Ticket'!C431=1, 1, 0)</f>
      </c>
      <c r="D332" s="26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8">
        <f>SUM(C332:Z332)</f>
      </c>
    </row>
    <row r="333">
      <c r="A333" s="27">
        <f>'List Ticket'!A333</f>
      </c>
      <c r="B333" s="27">
        <f>'List Ticket'!B333</f>
      </c>
      <c r="C333" s="27">
        <f>IF('List Ticket'!C432=1, 1, 0)</f>
      </c>
      <c r="D333" s="26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8">
        <f>SUM(C333:Z333)</f>
      </c>
    </row>
    <row r="334">
      <c r="A334" s="27">
        <f>'List Ticket'!A334</f>
      </c>
      <c r="B334" s="27">
        <f>'List Ticket'!B334</f>
      </c>
      <c r="C334" s="27">
        <f>IF('List Ticket'!C433=1, 1, 0)</f>
      </c>
      <c r="D334" s="26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8">
        <f>SUM(C334:Z334)</f>
      </c>
    </row>
    <row r="335">
      <c r="A335" s="27">
        <f>'List Ticket'!A335</f>
      </c>
      <c r="B335" s="27">
        <f>'List Ticket'!B335</f>
      </c>
      <c r="C335" s="27">
        <f>IF('List Ticket'!C434=1, 1, 0)</f>
      </c>
      <c r="D335" s="26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8">
        <f>SUM(C335:Z335)</f>
      </c>
    </row>
    <row r="336">
      <c r="A336" s="27">
        <f>'List Ticket'!A336</f>
      </c>
      <c r="B336" s="27">
        <f>'List Ticket'!B336</f>
      </c>
      <c r="C336" s="27">
        <f>IF('List Ticket'!C435=1, 1, 0)</f>
      </c>
      <c r="D336" s="26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8">
        <f>SUM(C336:Z336)</f>
      </c>
    </row>
    <row r="337">
      <c r="A337" s="27">
        <f>'List Ticket'!A337</f>
      </c>
      <c r="B337" s="27">
        <f>'List Ticket'!B337</f>
      </c>
      <c r="C337" s="27">
        <f>IF('List Ticket'!C436=1, 1, 0)</f>
      </c>
      <c r="D337" s="26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8">
        <f>SUM(C337:Z337)</f>
      </c>
    </row>
    <row r="338">
      <c r="A338" s="27">
        <f>'List Ticket'!A338</f>
      </c>
      <c r="B338" s="27">
        <f>'List Ticket'!B338</f>
      </c>
      <c r="C338" s="27">
        <f>IF('List Ticket'!C437=1, 1, 0)</f>
      </c>
      <c r="D338" s="26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8">
        <f>SUM(C338:Z338)</f>
      </c>
    </row>
    <row r="339">
      <c r="A339" s="27">
        <f>'List Ticket'!A339</f>
      </c>
      <c r="B339" s="27">
        <f>'List Ticket'!B339</f>
      </c>
      <c r="C339" s="27">
        <f>IF('List Ticket'!C438=1, 1, 0)</f>
      </c>
      <c r="D339" s="26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8">
        <f>SUM(C339:Z339)</f>
      </c>
    </row>
    <row r="340">
      <c r="A340" s="27">
        <f>'List Ticket'!A340</f>
      </c>
      <c r="B340" s="27">
        <f>'List Ticket'!B340</f>
      </c>
      <c r="C340" s="27">
        <f>IF('List Ticket'!C439=1, 1, 0)</f>
      </c>
      <c r="D340" s="26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8">
        <f>SUM(C340:Z340)</f>
      </c>
    </row>
    <row r="341">
      <c r="A341" s="27">
        <f>'List Ticket'!A341</f>
      </c>
      <c r="B341" s="27">
        <f>'List Ticket'!B341</f>
      </c>
      <c r="C341" s="27">
        <f>IF('List Ticket'!C440=1, 1, 0)</f>
      </c>
      <c r="D341" s="26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8">
        <f>SUM(C341:Z341)</f>
      </c>
    </row>
    <row r="342">
      <c r="A342" s="27">
        <f>'List Ticket'!A342</f>
      </c>
      <c r="B342" s="27">
        <f>'List Ticket'!B342</f>
      </c>
      <c r="C342" s="27">
        <f>IF('List Ticket'!C441=1, 1, 0)</f>
      </c>
      <c r="D342" s="26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8">
        <f>SUM(C342:Z342)</f>
      </c>
    </row>
    <row r="343">
      <c r="A343" s="27">
        <f>'List Ticket'!A343</f>
      </c>
      <c r="B343" s="27">
        <f>'List Ticket'!B343</f>
      </c>
      <c r="C343" s="27">
        <f>IF('List Ticket'!C442=1, 1, 0)</f>
      </c>
      <c r="D343" s="26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8">
        <f>SUM(C343:Z343)</f>
      </c>
    </row>
    <row r="344">
      <c r="A344" s="27">
        <f>'List Ticket'!A344</f>
      </c>
      <c r="B344" s="27">
        <f>'List Ticket'!B344</f>
      </c>
      <c r="C344" s="27">
        <f>IF('List Ticket'!C443=1, 1, 0)</f>
      </c>
      <c r="D344" s="26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8">
        <f>SUM(C344:Z344)</f>
      </c>
    </row>
    <row r="345">
      <c r="A345" s="27">
        <f>'List Ticket'!A345</f>
      </c>
      <c r="B345" s="27">
        <f>'List Ticket'!B345</f>
      </c>
      <c r="C345" s="27">
        <f>IF('List Ticket'!C444=1, 1, 0)</f>
      </c>
      <c r="D345" s="26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8">
        <f>SUM(C345:Z345)</f>
      </c>
    </row>
    <row r="346">
      <c r="A346" s="27">
        <f>'List Ticket'!A346</f>
      </c>
      <c r="B346" s="27">
        <f>'List Ticket'!B346</f>
      </c>
      <c r="C346" s="27">
        <f>IF('List Ticket'!C445=1, 1, 0)</f>
      </c>
      <c r="D346" s="26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8">
        <f>SUM(C346:Z346)</f>
      </c>
    </row>
    <row r="347">
      <c r="A347" s="27">
        <f>'List Ticket'!A347</f>
      </c>
      <c r="B347" s="27">
        <f>'List Ticket'!B347</f>
      </c>
      <c r="C347" s="27">
        <f>IF('List Ticket'!C446=1, 1, 0)</f>
      </c>
      <c r="D347" s="26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8">
        <f>SUM(C347:Z347)</f>
      </c>
    </row>
    <row r="348">
      <c r="A348" s="27">
        <f>'List Ticket'!A348</f>
      </c>
      <c r="B348" s="27">
        <f>'List Ticket'!B348</f>
      </c>
      <c r="C348" s="27">
        <f>IF('List Ticket'!C447=1, 1, 0)</f>
      </c>
      <c r="D348" s="26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8">
        <f>SUM(C348:Z348)</f>
      </c>
    </row>
    <row r="349">
      <c r="A349" s="27">
        <f>'List Ticket'!A349</f>
      </c>
      <c r="B349" s="27">
        <f>'List Ticket'!B349</f>
      </c>
      <c r="C349" s="27">
        <f>IF('List Ticket'!C448=1, 1, 0)</f>
      </c>
      <c r="D349" s="26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8">
        <f>SUM(C349:Z349)</f>
      </c>
    </row>
    <row r="350">
      <c r="A350" s="27">
        <f>'List Ticket'!A350</f>
      </c>
      <c r="B350" s="27">
        <f>'List Ticket'!B350</f>
      </c>
      <c r="C350" s="27">
        <f>IF('List Ticket'!C449=1, 1, 0)</f>
      </c>
      <c r="D350" s="26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8">
        <f>SUM(C350:Z350)</f>
      </c>
    </row>
    <row r="351">
      <c r="A351" s="27">
        <f>'List Ticket'!A351</f>
      </c>
      <c r="B351" s="27">
        <f>'List Ticket'!B351</f>
      </c>
      <c r="C351" s="27">
        <f>IF('List Ticket'!C450=1, 1, 0)</f>
      </c>
      <c r="D351" s="26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8">
        <f>SUM(C351:Z351)</f>
      </c>
    </row>
    <row r="352">
      <c r="A352" s="27">
        <f>'List Ticket'!A352</f>
      </c>
      <c r="B352" s="27">
        <f>'List Ticket'!B352</f>
      </c>
      <c r="C352" s="27">
        <f>IF('List Ticket'!C451=1, 1, 0)</f>
      </c>
      <c r="D352" s="26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8">
        <f>SUM(C352:Z352)</f>
      </c>
    </row>
    <row r="353">
      <c r="A353" s="27">
        <f>'List Ticket'!A353</f>
      </c>
      <c r="B353" s="27">
        <f>'List Ticket'!B353</f>
      </c>
      <c r="C353" s="27">
        <f>IF('List Ticket'!C452=1, 1, 0)</f>
      </c>
      <c r="D353" s="26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8">
        <f>SUM(C353:Z353)</f>
      </c>
    </row>
    <row r="354">
      <c r="A354" s="27">
        <f>'List Ticket'!A354</f>
      </c>
      <c r="B354" s="27">
        <f>'List Ticket'!B354</f>
      </c>
      <c r="C354" s="27">
        <f>IF('List Ticket'!C453=1, 1, 0)</f>
      </c>
      <c r="D354" s="26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8">
        <f>SUM(C354:Z354)</f>
      </c>
    </row>
    <row r="355">
      <c r="A355" s="27">
        <f>'List Ticket'!A355</f>
      </c>
      <c r="B355" s="27">
        <f>'List Ticket'!B355</f>
      </c>
      <c r="C355" s="27">
        <f>IF('List Ticket'!C454=1, 1, 0)</f>
      </c>
      <c r="D355" s="26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8">
        <f>SUM(C355:Z355)</f>
      </c>
    </row>
    <row r="356">
      <c r="A356" s="27">
        <f>'List Ticket'!A356</f>
      </c>
      <c r="B356" s="27">
        <f>'List Ticket'!B356</f>
      </c>
      <c r="C356" s="27">
        <f>IF('List Ticket'!C455=1, 1, 0)</f>
      </c>
      <c r="D356" s="26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8">
        <f>SUM(C356:Z356)</f>
      </c>
    </row>
    <row r="357">
      <c r="A357" s="27">
        <f>'List Ticket'!A357</f>
      </c>
      <c r="B357" s="27">
        <f>'List Ticket'!B357</f>
      </c>
      <c r="C357" s="27">
        <f>IF('List Ticket'!C456=1, 1, 0)</f>
      </c>
      <c r="D357" s="26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8">
        <f>SUM(C357:Z357)</f>
      </c>
    </row>
    <row r="358">
      <c r="A358" s="27">
        <f>'List Ticket'!A358</f>
      </c>
      <c r="B358" s="27">
        <f>'List Ticket'!B358</f>
      </c>
      <c r="C358" s="27">
        <f>IF('List Ticket'!C457=1, 1, 0)</f>
      </c>
      <c r="D358" s="26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8">
        <f>SUM(C358:Z358)</f>
      </c>
    </row>
    <row r="359">
      <c r="A359" s="27">
        <f>'List Ticket'!A359</f>
      </c>
      <c r="B359" s="27">
        <f>'List Ticket'!B359</f>
      </c>
      <c r="C359" s="27">
        <f>IF('List Ticket'!C458=1, 1, 0)</f>
      </c>
      <c r="D359" s="26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8">
        <f>SUM(C359:Z359)</f>
      </c>
    </row>
    <row r="360">
      <c r="A360" s="27">
        <f>'List Ticket'!A360</f>
      </c>
      <c r="B360" s="27">
        <f>'List Ticket'!B360</f>
      </c>
      <c r="C360" s="27">
        <f>IF('List Ticket'!C459=1, 1, 0)</f>
      </c>
      <c r="D360" s="26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8">
        <f>SUM(C360:Z360)</f>
      </c>
    </row>
    <row r="361">
      <c r="A361" s="27">
        <f>'List Ticket'!A361</f>
      </c>
      <c r="B361" s="27">
        <f>'List Ticket'!B361</f>
      </c>
      <c r="C361" s="27">
        <f>IF('List Ticket'!C460=1, 1, 0)</f>
      </c>
      <c r="D361" s="26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8">
        <f>SUM(C361:Z361)</f>
      </c>
    </row>
    <row r="362">
      <c r="A362" s="27">
        <f>'List Ticket'!A362</f>
      </c>
      <c r="B362" s="27">
        <f>'List Ticket'!B362</f>
      </c>
      <c r="C362" s="27">
        <f>IF('List Ticket'!C461=1, 1, 0)</f>
      </c>
      <c r="D362" s="26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8">
        <f>SUM(C362:Z362)</f>
      </c>
    </row>
    <row r="363">
      <c r="A363" s="27">
        <f>'List Ticket'!A363</f>
      </c>
      <c r="B363" s="27">
        <f>'List Ticket'!B363</f>
      </c>
      <c r="C363" s="27">
        <f>IF('List Ticket'!C462=1, 1, 0)</f>
      </c>
      <c r="D363" s="26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8">
        <f>SUM(C363:Z363)</f>
      </c>
    </row>
    <row r="364">
      <c r="A364" s="27">
        <f>'List Ticket'!A364</f>
      </c>
      <c r="B364" s="27">
        <f>'List Ticket'!B364</f>
      </c>
      <c r="C364" s="27">
        <f>IF('List Ticket'!C463=1, 1, 0)</f>
      </c>
      <c r="D364" s="26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8">
        <f>SUM(C364:Z364)</f>
      </c>
    </row>
    <row r="365">
      <c r="A365" s="27">
        <f>'List Ticket'!A365</f>
      </c>
      <c r="B365" s="27">
        <f>'List Ticket'!B365</f>
      </c>
      <c r="C365" s="27">
        <f>IF('List Ticket'!C464=1, 1, 0)</f>
      </c>
      <c r="D365" s="26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8">
        <f>SUM(C365:Z365)</f>
      </c>
    </row>
    <row r="366">
      <c r="A366" s="27">
        <f>'List Ticket'!A366</f>
      </c>
      <c r="B366" s="27">
        <f>'List Ticket'!B366</f>
      </c>
      <c r="C366" s="27">
        <f>IF('List Ticket'!C465=1, 1, 0)</f>
      </c>
      <c r="D366" s="26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8">
        <f>SUM(C366:Z366)</f>
      </c>
    </row>
    <row r="367">
      <c r="A367" s="27">
        <f>'List Ticket'!A367</f>
      </c>
      <c r="B367" s="27">
        <f>'List Ticket'!B367</f>
      </c>
      <c r="C367" s="27">
        <f>IF('List Ticket'!C466=1, 1, 0)</f>
      </c>
      <c r="D367" s="26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8">
        <f>SUM(C367:Z367)</f>
      </c>
    </row>
    <row r="368">
      <c r="A368" s="27">
        <f>'List Ticket'!A368</f>
      </c>
      <c r="B368" s="27">
        <f>'List Ticket'!B368</f>
      </c>
      <c r="C368" s="27">
        <f>IF('List Ticket'!C467=1, 1, 0)</f>
      </c>
      <c r="D368" s="26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8">
        <f>SUM(C368:Z368)</f>
      </c>
    </row>
    <row r="369">
      <c r="A369" s="27">
        <f>'List Ticket'!A369</f>
      </c>
      <c r="B369" s="27">
        <f>'List Ticket'!B369</f>
      </c>
      <c r="C369" s="27">
        <f>IF('List Ticket'!C468=1, 1, 0)</f>
      </c>
      <c r="D369" s="26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8">
        <f>SUM(C369:Z369)</f>
      </c>
    </row>
    <row r="370">
      <c r="A370" s="27">
        <f>'List Ticket'!A370</f>
      </c>
      <c r="B370" s="27">
        <f>'List Ticket'!B370</f>
      </c>
      <c r="C370" s="27">
        <f>IF('List Ticket'!C469=1, 1, 0)</f>
      </c>
      <c r="D370" s="26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8">
        <f>SUM(C370:Z370)</f>
      </c>
    </row>
    <row r="371">
      <c r="A371" s="27">
        <f>'List Ticket'!A371</f>
      </c>
      <c r="B371" s="27">
        <f>'List Ticket'!B371</f>
      </c>
      <c r="C371" s="27">
        <f>IF('List Ticket'!C470=1, 1, 0)</f>
      </c>
      <c r="D371" s="26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8">
        <f>SUM(C371:Z371)</f>
      </c>
    </row>
    <row r="372">
      <c r="A372" s="27">
        <f>'List Ticket'!A372</f>
      </c>
      <c r="B372" s="27">
        <f>'List Ticket'!B372</f>
      </c>
      <c r="C372" s="27">
        <f>IF('List Ticket'!C471=1, 1, 0)</f>
      </c>
      <c r="D372" s="26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8">
        <f>SUM(C372:Z372)</f>
      </c>
    </row>
    <row r="373">
      <c r="A373" s="27">
        <f>'List Ticket'!A373</f>
      </c>
      <c r="B373" s="27">
        <f>'List Ticket'!B373</f>
      </c>
      <c r="C373" s="27">
        <f>IF('List Ticket'!C472=1, 1, 0)</f>
      </c>
      <c r="D373" s="26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8">
        <f>SUM(C373:Z373)</f>
      </c>
    </row>
    <row r="374">
      <c r="A374" s="27">
        <f>'List Ticket'!A374</f>
      </c>
      <c r="B374" s="27">
        <f>'List Ticket'!B374</f>
      </c>
      <c r="C374" s="27">
        <f>IF('List Ticket'!C473=1, 1, 0)</f>
      </c>
      <c r="D374" s="26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8">
        <f>SUM(C374:Z374)</f>
      </c>
    </row>
    <row r="375">
      <c r="A375" s="27">
        <f>'List Ticket'!A375</f>
      </c>
      <c r="B375" s="27">
        <f>'List Ticket'!B375</f>
      </c>
      <c r="C375" s="27">
        <f>IF('List Ticket'!C474=1, 1, 0)</f>
      </c>
      <c r="D375" s="26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8">
        <f>SUM(C375:Z375)</f>
      </c>
    </row>
    <row r="376">
      <c r="A376" s="27">
        <f>'List Ticket'!A376</f>
      </c>
      <c r="B376" s="27">
        <f>'List Ticket'!B376</f>
      </c>
      <c r="C376" s="27">
        <f>IF('List Ticket'!C475=1, 1, 0)</f>
      </c>
      <c r="D376" s="26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8">
        <f>SUM(C376:Z376)</f>
      </c>
    </row>
    <row r="377">
      <c r="A377" s="27">
        <f>'List Ticket'!A377</f>
      </c>
      <c r="B377" s="27">
        <f>'List Ticket'!B377</f>
      </c>
      <c r="C377" s="27">
        <f>IF('List Ticket'!C476=1, 1, 0)</f>
      </c>
      <c r="D377" s="26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8">
        <f>SUM(C377:Z377)</f>
      </c>
    </row>
    <row r="378">
      <c r="A378" s="27">
        <f>'List Ticket'!A378</f>
      </c>
      <c r="B378" s="27">
        <f>'List Ticket'!B378</f>
      </c>
      <c r="C378" s="27">
        <f>IF('List Ticket'!C477=1, 1, 0)</f>
      </c>
      <c r="D378" s="26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8">
        <f>SUM(C378:Z378)</f>
      </c>
    </row>
    <row r="379">
      <c r="A379" s="27">
        <f>'List Ticket'!A379</f>
      </c>
      <c r="B379" s="27">
        <f>'List Ticket'!B379</f>
      </c>
      <c r="C379" s="27">
        <f>IF('List Ticket'!C478=1, 1, 0)</f>
      </c>
      <c r="D379" s="26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8">
        <f>SUM(C379:Z379)</f>
      </c>
    </row>
    <row r="380">
      <c r="A380" s="27">
        <f>'List Ticket'!A380</f>
      </c>
      <c r="B380" s="27">
        <f>'List Ticket'!B380</f>
      </c>
      <c r="C380" s="27">
        <f>IF('List Ticket'!C479=1, 1, 0)</f>
      </c>
      <c r="D380" s="26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8">
        <f>SUM(C380:Z380)</f>
      </c>
    </row>
    <row r="381">
      <c r="A381" s="27">
        <f>'List Ticket'!A381</f>
      </c>
      <c r="B381" s="27">
        <f>'List Ticket'!B381</f>
      </c>
      <c r="C381" s="27">
        <f>IF('List Ticket'!C480=1, 1, 0)</f>
      </c>
      <c r="D381" s="26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8">
        <f>SUM(C381:Z381)</f>
      </c>
    </row>
    <row r="382">
      <c r="A382" s="27">
        <f>'List Ticket'!A382</f>
      </c>
      <c r="B382" s="27">
        <f>'List Ticket'!B382</f>
      </c>
      <c r="C382" s="27">
        <f>IF('List Ticket'!C481=1, 1, 0)</f>
      </c>
      <c r="D382" s="26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8">
        <f>SUM(C382:Z382)</f>
      </c>
    </row>
    <row r="383">
      <c r="A383" s="27">
        <f>'List Ticket'!A383</f>
      </c>
      <c r="B383" s="27">
        <f>'List Ticket'!B383</f>
      </c>
      <c r="C383" s="27">
        <f>IF('List Ticket'!C482=1, 1, 0)</f>
      </c>
      <c r="D383" s="26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8">
        <f>SUM(C383:Z383)</f>
      </c>
    </row>
    <row r="384">
      <c r="A384" s="27">
        <f>'List Ticket'!A384</f>
      </c>
      <c r="B384" s="27">
        <f>'List Ticket'!B384</f>
      </c>
      <c r="C384" s="27">
        <f>IF('List Ticket'!C483=1, 1, 0)</f>
      </c>
      <c r="D384" s="26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8">
        <f>SUM(C384:Z384)</f>
      </c>
    </row>
    <row r="385">
      <c r="A385" s="27">
        <f>'List Ticket'!A385</f>
      </c>
      <c r="B385" s="27">
        <f>'List Ticket'!B385</f>
      </c>
      <c r="C385" s="27">
        <f>IF('List Ticket'!C484=1, 1, 0)</f>
      </c>
      <c r="D385" s="26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8">
        <f>SUM(C385:Z385)</f>
      </c>
    </row>
    <row r="386">
      <c r="A386" s="27">
        <f>'List Ticket'!A386</f>
      </c>
      <c r="B386" s="27">
        <f>'List Ticket'!B386</f>
      </c>
      <c r="C386" s="27">
        <f>IF('List Ticket'!C485=1, 1, 0)</f>
      </c>
      <c r="D386" s="26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8">
        <f>SUM(C386:Z386)</f>
      </c>
    </row>
    <row r="387">
      <c r="A387" s="27">
        <f>'List Ticket'!A387</f>
      </c>
      <c r="B387" s="27">
        <f>'List Ticket'!B387</f>
      </c>
      <c r="C387" s="27">
        <f>IF('List Ticket'!C486=1, 1, 0)</f>
      </c>
      <c r="D387" s="26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8">
        <f>SUM(C387:Z387)</f>
      </c>
    </row>
    <row r="388">
      <c r="A388" s="27">
        <f>'List Ticket'!A388</f>
      </c>
      <c r="B388" s="27">
        <f>'List Ticket'!B388</f>
      </c>
      <c r="C388" s="27">
        <f>IF('List Ticket'!C487=1, 1, 0)</f>
      </c>
      <c r="D388" s="26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8">
        <f>SUM(C388:Z388)</f>
      </c>
    </row>
    <row r="389">
      <c r="A389" s="27">
        <f>'List Ticket'!A389</f>
      </c>
      <c r="B389" s="27">
        <f>'List Ticket'!B389</f>
      </c>
      <c r="C389" s="27">
        <f>IF('List Ticket'!C488=1, 1, 0)</f>
      </c>
      <c r="D389" s="26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8">
        <f>SUM(C389:Z389)</f>
      </c>
    </row>
    <row r="390">
      <c r="A390" s="27">
        <f>'List Ticket'!A390</f>
      </c>
      <c r="B390" s="27">
        <f>'List Ticket'!B390</f>
      </c>
      <c r="C390" s="27">
        <f>IF('List Ticket'!C489=1, 1, 0)</f>
      </c>
      <c r="D390" s="26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8">
        <f>SUM(C390:Z390)</f>
      </c>
    </row>
    <row r="391">
      <c r="A391" s="27">
        <f>'List Ticket'!A391</f>
      </c>
      <c r="B391" s="27">
        <f>'List Ticket'!B391</f>
      </c>
      <c r="C391" s="27">
        <f>IF('List Ticket'!C490=1, 1, 0)</f>
      </c>
      <c r="D391" s="26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8">
        <f>SUM(C391:Z391)</f>
      </c>
    </row>
    <row r="392">
      <c r="A392" s="27">
        <f>'List Ticket'!A392</f>
      </c>
      <c r="B392" s="27">
        <f>'List Ticket'!B392</f>
      </c>
      <c r="C392" s="27">
        <f>IF('List Ticket'!C491=1, 1, 0)</f>
      </c>
      <c r="D392" s="26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8">
        <f>SUM(C392:Z392)</f>
      </c>
    </row>
    <row r="393">
      <c r="A393" s="27">
        <f>'List Ticket'!A393</f>
      </c>
      <c r="B393" s="27">
        <f>'List Ticket'!B393</f>
      </c>
      <c r="C393" s="27">
        <f>IF('List Ticket'!C492=1, 1, 0)</f>
      </c>
      <c r="D393" s="26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8">
        <f>SUM(C393:Z393)</f>
      </c>
    </row>
    <row r="394">
      <c r="A394" s="27">
        <f>'List Ticket'!A394</f>
      </c>
      <c r="B394" s="27">
        <f>'List Ticket'!B394</f>
      </c>
      <c r="C394" s="27">
        <f>IF('List Ticket'!C493=1, 1, 0)</f>
      </c>
      <c r="D394" s="26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8">
        <f>SUM(C394:Z394)</f>
      </c>
    </row>
    <row r="395">
      <c r="A395" s="27">
        <f>'List Ticket'!A395</f>
      </c>
      <c r="B395" s="27">
        <f>'List Ticket'!B395</f>
      </c>
      <c r="C395" s="27">
        <f>IF('List Ticket'!C494=1, 1, 0)</f>
      </c>
      <c r="D395" s="26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8">
        <f>SUM(C395:Z395)</f>
      </c>
    </row>
    <row r="396">
      <c r="A396" s="27">
        <f>'List Ticket'!A396</f>
      </c>
      <c r="B396" s="27">
        <f>'List Ticket'!B396</f>
      </c>
      <c r="C396" s="27">
        <f>IF('List Ticket'!C495=1, 1, 0)</f>
      </c>
      <c r="D396" s="26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8">
        <f>SUM(C396:Z396)</f>
      </c>
    </row>
    <row r="397">
      <c r="A397" s="27">
        <f>'List Ticket'!A397</f>
      </c>
      <c r="B397" s="27">
        <f>'List Ticket'!B397</f>
      </c>
      <c r="C397" s="27">
        <f>IF('List Ticket'!C496=1, 1, 0)</f>
      </c>
      <c r="D397" s="26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8">
        <f>SUM(C397:Z397)</f>
      </c>
    </row>
    <row r="398">
      <c r="A398" s="27">
        <f>'List Ticket'!A398</f>
      </c>
      <c r="B398" s="27">
        <f>'List Ticket'!B398</f>
      </c>
      <c r="C398" s="27">
        <f>IF('List Ticket'!C497=1, 1, 0)</f>
      </c>
      <c r="D398" s="26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8">
        <f>SUM(C398:Z398)</f>
      </c>
    </row>
    <row r="399">
      <c r="A399" s="27">
        <f>'List Ticket'!A399</f>
      </c>
      <c r="B399" s="27">
        <f>'List Ticket'!B399</f>
      </c>
      <c r="C399" s="27">
        <f>IF('List Ticket'!C498=1, 1, 0)</f>
      </c>
      <c r="D399" s="26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8">
        <f>SUM(C399:Z399)</f>
      </c>
    </row>
    <row r="400">
      <c r="A400" s="27">
        <f>'List Ticket'!A400</f>
      </c>
      <c r="B400" s="27">
        <f>'List Ticket'!B400</f>
      </c>
      <c r="C400" s="27">
        <f>IF('List Ticket'!C499=1, 1, 0)</f>
      </c>
      <c r="D400" s="26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8">
        <f>SUM(C400:Z400)</f>
      </c>
    </row>
    <row r="401">
      <c r="A401" s="27">
        <f>'List Ticket'!A401</f>
      </c>
      <c r="B401" s="27">
        <f>'List Ticket'!B401</f>
      </c>
      <c r="C401" s="27">
        <f>IF('List Ticket'!C500=1, 1, 0)</f>
      </c>
      <c r="D401" s="26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8">
        <f>SUM(C401:Z401)</f>
      </c>
    </row>
    <row r="402">
      <c r="A402" s="27">
        <f>'List Ticket'!A402</f>
      </c>
      <c r="B402" s="27">
        <f>'List Ticket'!B402</f>
      </c>
      <c r="C402" s="27">
        <f>IF('List Ticket'!C501=1, 1, 0)</f>
      </c>
      <c r="D402" s="26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8">
        <f>SUM(C402:Z402)</f>
      </c>
    </row>
    <row r="403">
      <c r="A403" s="27">
        <f>'List Ticket'!A403</f>
      </c>
      <c r="B403" s="27">
        <f>'List Ticket'!B403</f>
      </c>
      <c r="C403" s="27">
        <f>IF('List Ticket'!C502=1, 1, 0)</f>
      </c>
      <c r="D403" s="26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8">
        <f>SUM(C403:Z403)</f>
      </c>
    </row>
    <row r="404">
      <c r="A404" s="27">
        <f>'List Ticket'!A404</f>
      </c>
      <c r="B404" s="27">
        <f>'List Ticket'!B404</f>
      </c>
      <c r="C404" s="27">
        <f>IF('List Ticket'!C503=1, 1, 0)</f>
      </c>
      <c r="D404" s="26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8">
        <f>SUM(C404:Z404)</f>
      </c>
    </row>
    <row r="405">
      <c r="A405" s="27">
        <f>'List Ticket'!A405</f>
      </c>
      <c r="B405" s="27">
        <f>'List Ticket'!B405</f>
      </c>
      <c r="C405" s="27">
        <f>IF('List Ticket'!C504=1, 1, 0)</f>
      </c>
      <c r="D405" s="26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8">
        <f>SUM(C405:Z405)</f>
      </c>
    </row>
    <row r="406">
      <c r="A406" s="27">
        <f>'List Ticket'!A406</f>
      </c>
      <c r="B406" s="27">
        <f>'List Ticket'!B406</f>
      </c>
      <c r="C406" s="27">
        <f>IF('List Ticket'!C505=1, 1, 0)</f>
      </c>
      <c r="D406" s="26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8">
        <f>SUM(C406:Z406)</f>
      </c>
    </row>
    <row r="407">
      <c r="A407" s="27">
        <f>'List Ticket'!A407</f>
      </c>
      <c r="B407" s="27">
        <f>'List Ticket'!B407</f>
      </c>
      <c r="C407" s="27">
        <f>IF('List Ticket'!C506=1, 1, 0)</f>
      </c>
      <c r="D407" s="26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8">
        <f>SUM(C407:Z407)</f>
      </c>
    </row>
    <row r="408">
      <c r="A408" s="27">
        <f>'List Ticket'!A408</f>
      </c>
      <c r="B408" s="27">
        <f>'List Ticket'!B408</f>
      </c>
      <c r="C408" s="27">
        <f>IF('List Ticket'!C507=1, 1, 0)</f>
      </c>
      <c r="D408" s="26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8">
        <f>SUM(C408:Z408)</f>
      </c>
    </row>
    <row r="409">
      <c r="A409" s="27">
        <f>'List Ticket'!A409</f>
      </c>
      <c r="B409" s="27">
        <f>'List Ticket'!B409</f>
      </c>
      <c r="C409" s="27">
        <f>IF('List Ticket'!C508=1, 1, 0)</f>
      </c>
      <c r="D409" s="26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8">
        <f>SUM(C409:Z409)</f>
      </c>
    </row>
    <row r="410">
      <c r="A410" s="27">
        <f>'List Ticket'!A410</f>
      </c>
      <c r="B410" s="27">
        <f>'List Ticket'!B410</f>
      </c>
      <c r="C410" s="27">
        <f>IF('List Ticket'!C509=1, 1, 0)</f>
      </c>
      <c r="D410" s="26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8">
        <f>SUM(C410:Z410)</f>
      </c>
    </row>
    <row r="411">
      <c r="A411" s="27">
        <f>'List Ticket'!A411</f>
      </c>
      <c r="B411" s="27">
        <f>'List Ticket'!B411</f>
      </c>
      <c r="C411" s="27">
        <f>IF('List Ticket'!C510=1, 1, 0)</f>
      </c>
      <c r="D411" s="26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8">
        <f>SUM(C411:Z411)</f>
      </c>
    </row>
    <row r="412">
      <c r="A412" s="27">
        <f>'List Ticket'!A412</f>
      </c>
      <c r="B412" s="27">
        <f>'List Ticket'!B412</f>
      </c>
      <c r="C412" s="27">
        <f>IF('List Ticket'!C511=1, 1, 0)</f>
      </c>
      <c r="D412" s="26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8">
        <f>SUM(C412:Z412)</f>
      </c>
    </row>
    <row r="413">
      <c r="A413" s="27">
        <f>'List Ticket'!A413</f>
      </c>
      <c r="B413" s="27">
        <f>'List Ticket'!B413</f>
      </c>
      <c r="C413" s="27">
        <f>IF('List Ticket'!C512=1, 1, 0)</f>
      </c>
      <c r="D413" s="26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8">
        <f>SUM(C413:Z413)</f>
      </c>
    </row>
    <row r="414">
      <c r="A414" s="27">
        <f>'List Ticket'!A414</f>
      </c>
      <c r="B414" s="27">
        <f>'List Ticket'!B414</f>
      </c>
      <c r="C414" s="27">
        <f>IF('List Ticket'!C513=1, 1, 0)</f>
      </c>
      <c r="D414" s="26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8">
        <f>SUM(C414:Z414)</f>
      </c>
    </row>
    <row r="415">
      <c r="A415" s="27">
        <f>'List Ticket'!A415</f>
      </c>
      <c r="B415" s="27">
        <f>'List Ticket'!B415</f>
      </c>
      <c r="C415" s="27">
        <f>IF('List Ticket'!C514=1, 1, 0)</f>
      </c>
      <c r="D415" s="26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8">
        <f>SUM(C415:Z415)</f>
      </c>
    </row>
    <row r="416">
      <c r="A416" s="27">
        <f>'List Ticket'!A416</f>
      </c>
      <c r="B416" s="27">
        <f>'List Ticket'!B416</f>
      </c>
      <c r="C416" s="27">
        <f>IF('List Ticket'!C515=1, 1, 0)</f>
      </c>
      <c r="D416" s="26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8">
        <f>SUM(C416:Z416)</f>
      </c>
    </row>
    <row r="417">
      <c r="A417" s="27">
        <f>'List Ticket'!A417</f>
      </c>
      <c r="B417" s="27">
        <f>'List Ticket'!B417</f>
      </c>
      <c r="C417" s="27">
        <f>IF('List Ticket'!C516=1, 1, 0)</f>
      </c>
      <c r="D417" s="26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8">
        <f>SUM(C417:Z417)</f>
      </c>
    </row>
    <row r="418">
      <c r="A418" s="27">
        <f>'List Ticket'!A418</f>
      </c>
      <c r="B418" s="27">
        <f>'List Ticket'!B418</f>
      </c>
      <c r="C418" s="27">
        <f>IF('List Ticket'!C517=1, 1, 0)</f>
      </c>
      <c r="D418" s="26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8">
        <f>SUM(C418:Z418)</f>
      </c>
    </row>
    <row r="419">
      <c r="A419" s="27">
        <f>'List Ticket'!A419</f>
      </c>
      <c r="B419" s="27">
        <f>'List Ticket'!B419</f>
      </c>
      <c r="C419" s="27">
        <f>IF('List Ticket'!C518=1, 1, 0)</f>
      </c>
      <c r="D419" s="26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8">
        <f>SUM(C419:Z419)</f>
      </c>
    </row>
    <row r="420">
      <c r="A420" s="27">
        <f>'List Ticket'!A420</f>
      </c>
      <c r="B420" s="27">
        <f>'List Ticket'!B420</f>
      </c>
      <c r="C420" s="27">
        <f>IF('List Ticket'!C519=1, 1, 0)</f>
      </c>
      <c r="D420" s="26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8">
        <f>SUM(C420:Z420)</f>
      </c>
    </row>
    <row r="421">
      <c r="A421" s="27">
        <f>'List Ticket'!A421</f>
      </c>
      <c r="B421" s="27">
        <f>'List Ticket'!B421</f>
      </c>
      <c r="C421" s="27">
        <f>IF('List Ticket'!C520=1, 1, 0)</f>
      </c>
      <c r="D421" s="26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8">
        <f>SUM(C421:Z421)</f>
      </c>
    </row>
    <row r="422">
      <c r="A422" s="27">
        <f>'List Ticket'!A422</f>
      </c>
      <c r="B422" s="27">
        <f>'List Ticket'!B422</f>
      </c>
      <c r="C422" s="27">
        <f>IF('List Ticket'!C521=1, 1, 0)</f>
      </c>
      <c r="D422" s="26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8">
        <f>SUM(C422:Z422)</f>
      </c>
    </row>
    <row r="423">
      <c r="A423" s="27">
        <f>'List Ticket'!A423</f>
      </c>
      <c r="B423" s="27">
        <f>'List Ticket'!B423</f>
      </c>
      <c r="C423" s="27">
        <f>IF('List Ticket'!C522=1, 1, 0)</f>
      </c>
      <c r="D423" s="26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8">
        <f>SUM(C423:Z423)</f>
      </c>
    </row>
    <row r="424">
      <c r="A424" s="27">
        <f>'List Ticket'!A424</f>
      </c>
      <c r="B424" s="27">
        <f>'List Ticket'!B424</f>
      </c>
      <c r="C424" s="27">
        <f>IF('List Ticket'!C523=1, 1, 0)</f>
      </c>
      <c r="D424" s="26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8">
        <f>SUM(C424:Z424)</f>
      </c>
    </row>
    <row r="425">
      <c r="A425" s="27">
        <f>'List Ticket'!A425</f>
      </c>
      <c r="B425" s="27">
        <f>'List Ticket'!B425</f>
      </c>
      <c r="C425" s="27">
        <f>IF('List Ticket'!C524=1, 1, 0)</f>
      </c>
      <c r="D425" s="26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8">
        <f>SUM(C425:Z425)</f>
      </c>
    </row>
    <row r="426">
      <c r="A426" s="27">
        <f>'List Ticket'!A426</f>
      </c>
      <c r="B426" s="27">
        <f>'List Ticket'!B426</f>
      </c>
      <c r="C426" s="27">
        <f>IF('List Ticket'!C525=1, 1, 0)</f>
      </c>
      <c r="D426" s="26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8">
        <f>SUM(C426:Z426)</f>
      </c>
    </row>
    <row r="427">
      <c r="A427" s="27">
        <f>'List Ticket'!A427</f>
      </c>
      <c r="B427" s="27">
        <f>'List Ticket'!B427</f>
      </c>
      <c r="C427" s="27">
        <f>IF('List Ticket'!C526=1, 1, 0)</f>
      </c>
      <c r="D427" s="26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8">
        <f>SUM(C427:Z427)</f>
      </c>
    </row>
    <row r="428">
      <c r="A428" s="27">
        <f>'List Ticket'!A428</f>
      </c>
      <c r="B428" s="27">
        <f>'List Ticket'!B428</f>
      </c>
      <c r="C428" s="27">
        <f>IF('List Ticket'!C527=1, 1, 0)</f>
      </c>
      <c r="D428" s="26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8">
        <f>SUM(C428:Z428)</f>
      </c>
    </row>
    <row r="429">
      <c r="A429" s="27">
        <f>'List Ticket'!A429</f>
      </c>
      <c r="B429" s="27">
        <f>'List Ticket'!B429</f>
      </c>
      <c r="C429" s="27">
        <f>IF('List Ticket'!C528=1, 1, 0)</f>
      </c>
      <c r="D429" s="26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8">
        <f>SUM(C429:Z429)</f>
      </c>
    </row>
    <row r="430">
      <c r="A430" s="27">
        <f>'List Ticket'!A430</f>
      </c>
      <c r="B430" s="27">
        <f>'List Ticket'!B430</f>
      </c>
      <c r="C430" s="27">
        <f>IF('List Ticket'!C529=1, 1, 0)</f>
      </c>
      <c r="D430" s="26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8">
        <f>SUM(C430:Z430)</f>
      </c>
    </row>
    <row r="431">
      <c r="A431" s="27">
        <f>'List Ticket'!A431</f>
      </c>
      <c r="B431" s="27">
        <f>'List Ticket'!B431</f>
      </c>
      <c r="C431" s="27">
        <f>IF('List Ticket'!C530=1, 1, 0)</f>
      </c>
      <c r="D431" s="26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8">
        <f>SUM(C431:Z431)</f>
      </c>
    </row>
    <row r="432">
      <c r="A432" s="27">
        <f>'List Ticket'!A432</f>
      </c>
      <c r="B432" s="27">
        <f>'List Ticket'!B432</f>
      </c>
      <c r="C432" s="27">
        <f>IF('List Ticket'!C531=1, 1, 0)</f>
      </c>
      <c r="D432" s="26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8">
        <f>SUM(C432:Z432)</f>
      </c>
    </row>
    <row r="433">
      <c r="A433" s="27">
        <f>'List Ticket'!A433</f>
      </c>
      <c r="B433" s="27">
        <f>'List Ticket'!B433</f>
      </c>
      <c r="C433" s="27">
        <f>IF('List Ticket'!C532=1, 1, 0)</f>
      </c>
      <c r="D433" s="26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8">
        <f>SUM(C433:Z433)</f>
      </c>
    </row>
    <row r="434">
      <c r="A434" s="27">
        <f>'List Ticket'!A434</f>
      </c>
      <c r="B434" s="27">
        <f>'List Ticket'!B434</f>
      </c>
      <c r="C434" s="27">
        <f>IF('List Ticket'!C533=1, 1, 0)</f>
      </c>
      <c r="D434" s="26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8">
        <f>SUM(C434:Z434)</f>
      </c>
    </row>
    <row r="435">
      <c r="A435" s="27">
        <f>'List Ticket'!A435</f>
      </c>
      <c r="B435" s="27">
        <f>'List Ticket'!B435</f>
      </c>
      <c r="C435" s="27">
        <f>IF('List Ticket'!C534=1, 1, 0)</f>
      </c>
      <c r="D435" s="26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8">
        <f>SUM(C435:Z435)</f>
      </c>
    </row>
    <row r="436">
      <c r="A436" s="27">
        <f>'List Ticket'!A436</f>
      </c>
      <c r="B436" s="27">
        <f>'List Ticket'!B436</f>
      </c>
      <c r="C436" s="27">
        <f>IF('List Ticket'!C535=1, 1, 0)</f>
      </c>
      <c r="D436" s="26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8">
        <f>SUM(C436:Z436)</f>
      </c>
    </row>
    <row r="437">
      <c r="A437" s="27">
        <f>'List Ticket'!A437</f>
      </c>
      <c r="B437" s="27">
        <f>'List Ticket'!B437</f>
      </c>
      <c r="C437" s="27">
        <f>IF('List Ticket'!C536=1, 1, 0)</f>
      </c>
      <c r="D437" s="26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8">
        <f>SUM(C437:Z437)</f>
      </c>
    </row>
    <row r="438">
      <c r="A438" s="27">
        <f>'List Ticket'!A438</f>
      </c>
      <c r="B438" s="27">
        <f>'List Ticket'!B438</f>
      </c>
      <c r="C438" s="27">
        <f>IF('List Ticket'!C537=1, 1, 0)</f>
      </c>
      <c r="D438" s="26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8">
        <f>SUM(C438:Z438)</f>
      </c>
    </row>
    <row r="439">
      <c r="A439" s="27">
        <f>'List Ticket'!A439</f>
      </c>
      <c r="B439" s="27">
        <f>'List Ticket'!B439</f>
      </c>
      <c r="C439" s="27">
        <f>IF('List Ticket'!C538=1, 1, 0)</f>
      </c>
      <c r="D439" s="26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8">
        <f>SUM(C439:Z439)</f>
      </c>
    </row>
    <row r="440">
      <c r="A440" s="27">
        <f>'List Ticket'!A440</f>
      </c>
      <c r="B440" s="27">
        <f>'List Ticket'!B440</f>
      </c>
      <c r="C440" s="27">
        <f>IF('List Ticket'!C539=1, 1, 0)</f>
      </c>
      <c r="D440" s="26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8">
        <f>SUM(C440:Z440)</f>
      </c>
    </row>
    <row r="441">
      <c r="A441" s="27">
        <f>'List Ticket'!A441</f>
      </c>
      <c r="B441" s="27">
        <f>'List Ticket'!B441</f>
      </c>
      <c r="C441" s="27">
        <f>IF('List Ticket'!C540=1, 1, 0)</f>
      </c>
      <c r="D441" s="26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8">
        <f>SUM(C441:Z441)</f>
      </c>
    </row>
    <row r="442">
      <c r="A442" s="27">
        <f>'List Ticket'!A442</f>
      </c>
      <c r="B442" s="27">
        <f>'List Ticket'!B442</f>
      </c>
      <c r="C442" s="27">
        <f>IF('List Ticket'!C541=1, 1, 0)</f>
      </c>
      <c r="D442" s="26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8">
        <f>SUM(C442:Z442)</f>
      </c>
    </row>
    <row r="443">
      <c r="A443" s="27">
        <f>'List Ticket'!A443</f>
      </c>
      <c r="B443" s="27">
        <f>'List Ticket'!B443</f>
      </c>
      <c r="C443" s="27">
        <f>IF('List Ticket'!C542=1, 1, 0)</f>
      </c>
      <c r="D443" s="26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8">
        <f>SUM(C443:Z443)</f>
      </c>
    </row>
    <row r="444">
      <c r="A444" s="27">
        <f>'List Ticket'!A444</f>
      </c>
      <c r="B444" s="27">
        <f>'List Ticket'!B444</f>
      </c>
      <c r="C444" s="27">
        <f>IF('List Ticket'!C543=1, 1, 0)</f>
      </c>
      <c r="D444" s="26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8">
        <f>SUM(C444:Z444)</f>
      </c>
    </row>
    <row r="445">
      <c r="A445" s="27">
        <f>'List Ticket'!A445</f>
      </c>
      <c r="B445" s="27">
        <f>'List Ticket'!B445</f>
      </c>
      <c r="C445" s="27">
        <f>IF('List Ticket'!C544=1, 1, 0)</f>
      </c>
      <c r="D445" s="26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8">
        <f>SUM(C445:Z445)</f>
      </c>
    </row>
    <row r="446">
      <c r="A446" s="27">
        <f>'List Ticket'!A446</f>
      </c>
      <c r="B446" s="27">
        <f>'List Ticket'!B446</f>
      </c>
      <c r="C446" s="27">
        <f>IF('List Ticket'!C545=1, 1, 0)</f>
      </c>
      <c r="D446" s="26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8">
        <f>SUM(C446:Z446)</f>
      </c>
    </row>
    <row r="447">
      <c r="A447" s="27">
        <f>'List Ticket'!A447</f>
      </c>
      <c r="B447" s="27">
        <f>'List Ticket'!B447</f>
      </c>
      <c r="C447" s="27">
        <f>IF('List Ticket'!C546=1, 1, 0)</f>
      </c>
      <c r="D447" s="26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8">
        <f>SUM(C447:Z447)</f>
      </c>
    </row>
    <row r="448">
      <c r="A448" s="27">
        <f>'List Ticket'!A448</f>
      </c>
      <c r="B448" s="27">
        <f>'List Ticket'!B448</f>
      </c>
      <c r="C448" s="27">
        <f>IF('List Ticket'!C547=1, 1, 0)</f>
      </c>
      <c r="D448" s="26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8">
        <f>SUM(C448:Z448)</f>
      </c>
    </row>
    <row r="449">
      <c r="A449" s="27">
        <f>'List Ticket'!A449</f>
      </c>
      <c r="B449" s="27">
        <f>'List Ticket'!B449</f>
      </c>
      <c r="C449" s="27">
        <f>IF('List Ticket'!C548=1, 1, 0)</f>
      </c>
      <c r="D449" s="26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8">
        <f>SUM(C449:Z449)</f>
      </c>
    </row>
    <row r="450">
      <c r="A450" s="27">
        <f>'List Ticket'!A450</f>
      </c>
      <c r="B450" s="27">
        <f>'List Ticket'!B450</f>
      </c>
      <c r="C450" s="27">
        <f>IF('List Ticket'!C549=1, 1, 0)</f>
      </c>
      <c r="D450" s="26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8">
        <f>SUM(C450:Z450)</f>
      </c>
    </row>
    <row r="451">
      <c r="A451" s="27">
        <f>'List Ticket'!A451</f>
      </c>
      <c r="B451" s="27">
        <f>'List Ticket'!B451</f>
      </c>
      <c r="C451" s="27">
        <f>IF('List Ticket'!C550=1, 1, 0)</f>
      </c>
      <c r="D451" s="26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8">
        <f>SUM(C451:Z451)</f>
      </c>
    </row>
    <row r="452">
      <c r="A452" s="27">
        <f>'List Ticket'!A452</f>
      </c>
      <c r="B452" s="27">
        <f>'List Ticket'!B452</f>
      </c>
      <c r="C452" s="27">
        <f>IF('List Ticket'!C551=1, 1, 0)</f>
      </c>
      <c r="D452" s="26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8">
        <f>SUM(C452:Z452)</f>
      </c>
    </row>
    <row r="453">
      <c r="A453" s="27">
        <f>'List Ticket'!A453</f>
      </c>
      <c r="B453" s="27">
        <f>'List Ticket'!B453</f>
      </c>
      <c r="C453" s="27">
        <f>IF('List Ticket'!C552=1, 1, 0)</f>
      </c>
      <c r="D453" s="26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8">
        <f>SUM(C453:Z453)</f>
      </c>
    </row>
    <row r="454">
      <c r="A454" s="27">
        <f>'List Ticket'!A454</f>
      </c>
      <c r="B454" s="27">
        <f>'List Ticket'!B454</f>
      </c>
      <c r="C454" s="27">
        <f>IF('List Ticket'!C553=1, 1, 0)</f>
      </c>
      <c r="D454" s="26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8">
        <f>SUM(C454:Z454)</f>
      </c>
    </row>
    <row r="455">
      <c r="A455" s="27">
        <f>'List Ticket'!A455</f>
      </c>
      <c r="B455" s="27">
        <f>'List Ticket'!B455</f>
      </c>
      <c r="C455" s="27">
        <f>IF('List Ticket'!C554=1, 1, 0)</f>
      </c>
      <c r="D455" s="26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8">
        <f>SUM(C455:Z455)</f>
      </c>
    </row>
    <row r="456">
      <c r="A456" s="27">
        <f>'List Ticket'!A456</f>
      </c>
      <c r="B456" s="27">
        <f>'List Ticket'!B456</f>
      </c>
      <c r="C456" s="27">
        <f>IF('List Ticket'!C555=1, 1, 0)</f>
      </c>
      <c r="D456" s="26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8">
        <f>SUM(C456:Z456)</f>
      </c>
    </row>
    <row r="457">
      <c r="A457" s="27">
        <f>'List Ticket'!A457</f>
      </c>
      <c r="B457" s="27">
        <f>'List Ticket'!B457</f>
      </c>
      <c r="C457" s="27">
        <f>IF('List Ticket'!C556=1, 1, 0)</f>
      </c>
      <c r="D457" s="26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8">
        <f>SUM(C457:Z457)</f>
      </c>
    </row>
    <row r="458">
      <c r="A458" s="27">
        <f>'List Ticket'!A458</f>
      </c>
      <c r="B458" s="27">
        <f>'List Ticket'!B458</f>
      </c>
      <c r="C458" s="27">
        <f>IF('List Ticket'!C557=1, 1, 0)</f>
      </c>
      <c r="D458" s="26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8">
        <f>SUM(C458:Z458)</f>
      </c>
    </row>
    <row r="459">
      <c r="A459" s="27">
        <f>'List Ticket'!A459</f>
      </c>
      <c r="B459" s="27">
        <f>'List Ticket'!B459</f>
      </c>
      <c r="C459" s="27">
        <f>IF('List Ticket'!C558=1, 1, 0)</f>
      </c>
      <c r="D459" s="26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8">
        <f>SUM(C459:Z459)</f>
      </c>
    </row>
    <row r="460">
      <c r="A460" s="27">
        <f>'List Ticket'!A460</f>
      </c>
      <c r="B460" s="27">
        <f>'List Ticket'!B460</f>
      </c>
      <c r="C460" s="27">
        <f>IF('List Ticket'!C559=1, 1, 0)</f>
      </c>
      <c r="D460" s="26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8">
        <f>SUM(C460:Z460)</f>
      </c>
    </row>
    <row r="461">
      <c r="A461" s="27">
        <f>'List Ticket'!A461</f>
      </c>
      <c r="B461" s="27">
        <f>'List Ticket'!B461</f>
      </c>
      <c r="C461" s="27">
        <f>IF('List Ticket'!C560=1, 1, 0)</f>
      </c>
      <c r="D461" s="26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8">
        <f>SUM(C461:Z461)</f>
      </c>
    </row>
    <row r="462">
      <c r="A462" s="27">
        <f>'List Ticket'!A462</f>
      </c>
      <c r="B462" s="27">
        <f>'List Ticket'!B462</f>
      </c>
      <c r="C462" s="27">
        <f>IF('List Ticket'!C561=1, 1, 0)</f>
      </c>
      <c r="D462" s="26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8">
        <f>SUM(C462:Z462)</f>
      </c>
    </row>
    <row r="463">
      <c r="A463" s="27">
        <f>'List Ticket'!A463</f>
      </c>
      <c r="B463" s="27">
        <f>'List Ticket'!B463</f>
      </c>
      <c r="C463" s="27">
        <f>IF('List Ticket'!C562=1, 1, 0)</f>
      </c>
      <c r="D463" s="26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8">
        <f>SUM(C463:Z463)</f>
      </c>
    </row>
    <row r="464">
      <c r="A464" s="27">
        <f>'List Ticket'!A464</f>
      </c>
      <c r="B464" s="27">
        <f>'List Ticket'!B464</f>
      </c>
      <c r="C464" s="27">
        <f>IF('List Ticket'!C563=1, 1, 0)</f>
      </c>
      <c r="D464" s="26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8">
        <f>SUM(C464:Z464)</f>
      </c>
    </row>
    <row r="465">
      <c r="A465" s="27">
        <f>'List Ticket'!A465</f>
      </c>
      <c r="B465" s="27">
        <f>'List Ticket'!B465</f>
      </c>
      <c r="C465" s="27">
        <f>IF('List Ticket'!C564=1, 1, 0)</f>
      </c>
      <c r="D465" s="26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8">
        <f>SUM(C465:Z465)</f>
      </c>
    </row>
    <row r="466">
      <c r="A466" s="27">
        <f>'List Ticket'!A466</f>
      </c>
      <c r="B466" s="27">
        <f>'List Ticket'!B466</f>
      </c>
      <c r="C466" s="27">
        <f>IF('List Ticket'!C565=1, 1, 0)</f>
      </c>
      <c r="D466" s="26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8">
        <f>SUM(C466:Z466)</f>
      </c>
    </row>
    <row r="467">
      <c r="A467" s="27">
        <f>'List Ticket'!A467</f>
      </c>
      <c r="B467" s="27">
        <f>'List Ticket'!B467</f>
      </c>
      <c r="C467" s="27">
        <f>IF('List Ticket'!C566=1, 1, 0)</f>
      </c>
      <c r="D467" s="26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8">
        <f>SUM(C467:Z467)</f>
      </c>
    </row>
    <row r="468">
      <c r="A468" s="27">
        <f>'List Ticket'!A468</f>
      </c>
      <c r="B468" s="27">
        <f>'List Ticket'!B468</f>
      </c>
      <c r="C468" s="27">
        <f>IF('List Ticket'!C567=1, 1, 0)</f>
      </c>
      <c r="D468" s="26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8">
        <f>SUM(C468:Z468)</f>
      </c>
    </row>
    <row r="469">
      <c r="A469" s="27">
        <f>'List Ticket'!A469</f>
      </c>
      <c r="B469" s="27">
        <f>'List Ticket'!B469</f>
      </c>
      <c r="C469" s="27">
        <f>IF('List Ticket'!C568=1, 1, 0)</f>
      </c>
      <c r="D469" s="26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8">
        <f>SUM(C469:Z469)</f>
      </c>
    </row>
    <row r="470">
      <c r="A470" s="27">
        <f>'List Ticket'!A470</f>
      </c>
      <c r="B470" s="27">
        <f>'List Ticket'!B470</f>
      </c>
      <c r="C470" s="27">
        <f>IF('List Ticket'!C569=1, 1, 0)</f>
      </c>
      <c r="D470" s="26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8">
        <f>SUM(C470:Z470)</f>
      </c>
    </row>
    <row r="471">
      <c r="A471" s="27">
        <f>'List Ticket'!A471</f>
      </c>
      <c r="B471" s="27">
        <f>'List Ticket'!B471</f>
      </c>
      <c r="C471" s="27">
        <f>IF('List Ticket'!C570=1, 1, 0)</f>
      </c>
      <c r="D471" s="26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8">
        <f>SUM(C471:Z471)</f>
      </c>
    </row>
    <row r="472">
      <c r="A472" s="27">
        <f>'List Ticket'!A472</f>
      </c>
      <c r="B472" s="27">
        <f>'List Ticket'!B472</f>
      </c>
      <c r="C472" s="27">
        <f>IF('List Ticket'!C571=1, 1, 0)</f>
      </c>
      <c r="D472" s="26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8">
        <f>SUM(C472:Z472)</f>
      </c>
    </row>
    <row r="473">
      <c r="A473" s="27">
        <f>'List Ticket'!A473</f>
      </c>
      <c r="B473" s="27">
        <f>'List Ticket'!B473</f>
      </c>
      <c r="C473" s="27">
        <f>IF('List Ticket'!C572=1, 1, 0)</f>
      </c>
      <c r="D473" s="26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8">
        <f>SUM(C473:Z473)</f>
      </c>
    </row>
    <row r="474">
      <c r="A474" s="27">
        <f>'List Ticket'!A474</f>
      </c>
      <c r="B474" s="27">
        <f>'List Ticket'!B474</f>
      </c>
      <c r="C474" s="27">
        <f>IF('List Ticket'!C573=1, 1, 0)</f>
      </c>
      <c r="D474" s="26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8">
        <f>SUM(C474:Z474)</f>
      </c>
    </row>
    <row r="475">
      <c r="A475" s="27">
        <f>'List Ticket'!A475</f>
      </c>
      <c r="B475" s="27">
        <f>'List Ticket'!B475</f>
      </c>
      <c r="C475" s="27">
        <f>IF('List Ticket'!C574=1, 1, 0)</f>
      </c>
      <c r="D475" s="26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8">
        <f>SUM(C475:Z475)</f>
      </c>
    </row>
    <row r="476">
      <c r="A476" s="27">
        <f>'List Ticket'!A476</f>
      </c>
      <c r="B476" s="27">
        <f>'List Ticket'!B476</f>
      </c>
      <c r="C476" s="27">
        <f>IF('List Ticket'!C575=1, 1, 0)</f>
      </c>
      <c r="D476" s="26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8">
        <f>SUM(C476:Z476)</f>
      </c>
    </row>
    <row r="477">
      <c r="A477" s="27">
        <f>'List Ticket'!A477</f>
      </c>
      <c r="B477" s="27">
        <f>'List Ticket'!B477</f>
      </c>
      <c r="C477" s="27">
        <f>IF('List Ticket'!C576=1, 1, 0)</f>
      </c>
      <c r="D477" s="26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8">
        <f>SUM(C477:Z477)</f>
      </c>
    </row>
    <row r="478">
      <c r="A478" s="27">
        <f>'List Ticket'!A478</f>
      </c>
      <c r="B478" s="27">
        <f>'List Ticket'!B478</f>
      </c>
      <c r="C478" s="27">
        <f>IF('List Ticket'!C577=1, 1, 0)</f>
      </c>
      <c r="D478" s="26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8">
        <f>SUM(C478:Z478)</f>
      </c>
    </row>
    <row r="479">
      <c r="A479" s="27">
        <f>'List Ticket'!A479</f>
      </c>
      <c r="B479" s="27">
        <f>'List Ticket'!B479</f>
      </c>
      <c r="C479" s="27">
        <f>IF('List Ticket'!C578=1, 1, 0)</f>
      </c>
      <c r="D479" s="26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8">
        <f>SUM(C479:Z479)</f>
      </c>
    </row>
    <row r="480">
      <c r="A480" s="27">
        <f>'List Ticket'!A480</f>
      </c>
      <c r="B480" s="27">
        <f>'List Ticket'!B480</f>
      </c>
      <c r="C480" s="27">
        <f>IF('List Ticket'!C579=1, 1, 0)</f>
      </c>
      <c r="D480" s="26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8">
        <f>SUM(C480:Z480)</f>
      </c>
    </row>
    <row r="481">
      <c r="A481" s="27">
        <f>'List Ticket'!A481</f>
      </c>
      <c r="B481" s="27">
        <f>'List Ticket'!B481</f>
      </c>
      <c r="C481" s="27">
        <f>IF('List Ticket'!C580=1, 1, 0)</f>
      </c>
      <c r="D481" s="26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8">
        <f>SUM(C481:Z481)</f>
      </c>
    </row>
    <row r="482">
      <c r="A482" s="27">
        <f>'List Ticket'!A482</f>
      </c>
      <c r="B482" s="27">
        <f>'List Ticket'!B482</f>
      </c>
      <c r="C482" s="27">
        <f>IF('List Ticket'!C581=1, 1, 0)</f>
      </c>
      <c r="D482" s="26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8">
        <f>SUM(C482:Z482)</f>
      </c>
    </row>
    <row r="483">
      <c r="A483" s="27">
        <f>'List Ticket'!A483</f>
      </c>
      <c r="B483" s="27">
        <f>'List Ticket'!B483</f>
      </c>
      <c r="C483" s="27">
        <f>IF('List Ticket'!C582=1, 1, 0)</f>
      </c>
      <c r="D483" s="26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8">
        <f>SUM(C483:Z483)</f>
      </c>
    </row>
    <row r="484">
      <c r="A484" s="27">
        <f>'List Ticket'!A484</f>
      </c>
      <c r="B484" s="27">
        <f>'List Ticket'!B484</f>
      </c>
      <c r="C484" s="27">
        <f>IF('List Ticket'!C583=1, 1, 0)</f>
      </c>
      <c r="D484" s="26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8">
        <f>SUM(C484:Z484)</f>
      </c>
    </row>
    <row r="485">
      <c r="A485" s="27">
        <f>'List Ticket'!A485</f>
      </c>
      <c r="B485" s="27">
        <f>'List Ticket'!B485</f>
      </c>
      <c r="C485" s="27">
        <f>IF('List Ticket'!C584=1, 1, 0)</f>
      </c>
      <c r="D485" s="26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8">
        <f>SUM(C485:Z485)</f>
      </c>
    </row>
    <row r="486">
      <c r="A486" s="27">
        <f>'List Ticket'!A486</f>
      </c>
      <c r="B486" s="27">
        <f>'List Ticket'!B486</f>
      </c>
      <c r="C486" s="27">
        <f>IF('List Ticket'!C585=1, 1, 0)</f>
      </c>
      <c r="D486" s="26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8">
        <f>SUM(C486:Z486)</f>
      </c>
    </row>
    <row r="487">
      <c r="A487" s="27">
        <f>'List Ticket'!A487</f>
      </c>
      <c r="B487" s="27">
        <f>'List Ticket'!B487</f>
      </c>
      <c r="C487" s="27">
        <f>IF('List Ticket'!C586=1, 1, 0)</f>
      </c>
      <c r="D487" s="26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8">
        <f>SUM(C487:Z487)</f>
      </c>
    </row>
    <row r="488">
      <c r="A488" s="27">
        <f>'List Ticket'!A488</f>
      </c>
      <c r="B488" s="27">
        <f>'List Ticket'!B488</f>
      </c>
      <c r="C488" s="27">
        <f>IF('List Ticket'!C587=1, 1, 0)</f>
      </c>
      <c r="D488" s="26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8">
        <f>SUM(C488:Z488)</f>
      </c>
    </row>
    <row r="489">
      <c r="A489" s="27">
        <f>'List Ticket'!A489</f>
      </c>
      <c r="B489" s="27">
        <f>'List Ticket'!B489</f>
      </c>
      <c r="C489" s="27">
        <f>IF('List Ticket'!C588=1, 1, 0)</f>
      </c>
      <c r="D489" s="26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8">
        <f>SUM(C489:Z489)</f>
      </c>
    </row>
    <row r="490">
      <c r="A490" s="27">
        <f>'List Ticket'!A490</f>
      </c>
      <c r="B490" s="27">
        <f>'List Ticket'!B490</f>
      </c>
      <c r="C490" s="27">
        <f>IF('List Ticket'!C589=1, 1, 0)</f>
      </c>
      <c r="D490" s="26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8">
        <f>SUM(C490:Z490)</f>
      </c>
    </row>
    <row r="491">
      <c r="A491" s="27">
        <f>'List Ticket'!A491</f>
      </c>
      <c r="B491" s="27">
        <f>'List Ticket'!B491</f>
      </c>
      <c r="C491" s="27">
        <f>IF('List Ticket'!C590=1, 1, 0)</f>
      </c>
      <c r="D491" s="26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8">
        <f>SUM(C491:Z491)</f>
      </c>
    </row>
    <row r="492">
      <c r="A492" s="27">
        <f>'List Ticket'!A492</f>
      </c>
      <c r="B492" s="27">
        <f>'List Ticket'!B492</f>
      </c>
      <c r="C492" s="27">
        <f>IF('List Ticket'!C591=1, 1, 0)</f>
      </c>
      <c r="D492" s="26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8">
        <f>SUM(C492:Z492)</f>
      </c>
    </row>
    <row r="493">
      <c r="A493" s="27">
        <f>'List Ticket'!A493</f>
      </c>
      <c r="B493" s="27">
        <f>'List Ticket'!B493</f>
      </c>
      <c r="C493" s="27">
        <f>IF('List Ticket'!C592=1, 1, 0)</f>
      </c>
      <c r="D493" s="26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8">
        <f>SUM(C493:Z493)</f>
      </c>
    </row>
    <row r="494">
      <c r="A494" s="27">
        <f>'List Ticket'!A494</f>
      </c>
      <c r="B494" s="27">
        <f>'List Ticket'!B494</f>
      </c>
      <c r="C494" s="27">
        <f>IF('List Ticket'!C593=1, 1, 0)</f>
      </c>
      <c r="D494" s="26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8">
        <f>SUM(C494:Z494)</f>
      </c>
    </row>
    <row r="495">
      <c r="A495" s="27">
        <f>'List Ticket'!A495</f>
      </c>
      <c r="B495" s="27">
        <f>'List Ticket'!B495</f>
      </c>
      <c r="C495" s="27">
        <f>IF('List Ticket'!C594=1, 1, 0)</f>
      </c>
      <c r="D495" s="26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8">
        <f>SUM(C495:Z495)</f>
      </c>
    </row>
    <row r="496">
      <c r="A496" s="27">
        <f>'List Ticket'!A496</f>
      </c>
      <c r="B496" s="27">
        <f>'List Ticket'!B496</f>
      </c>
      <c r="C496" s="27">
        <f>IF('List Ticket'!C595=1, 1, 0)</f>
      </c>
      <c r="D496" s="26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8">
        <f>SUM(C496:Z496)</f>
      </c>
    </row>
    <row r="497">
      <c r="A497" s="27">
        <f>'List Ticket'!A497</f>
      </c>
      <c r="B497" s="27">
        <f>'List Ticket'!B497</f>
      </c>
      <c r="C497" s="27">
        <f>IF('List Ticket'!C596=1, 1, 0)</f>
      </c>
      <c r="D497" s="26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8">
        <f>SUM(C497:Z497)</f>
      </c>
    </row>
    <row r="498">
      <c r="A498" s="27">
        <f>'List Ticket'!A498</f>
      </c>
      <c r="B498" s="27">
        <f>'List Ticket'!B498</f>
      </c>
      <c r="C498" s="27">
        <f>IF('List Ticket'!C597=1, 1, 0)</f>
      </c>
      <c r="D498" s="26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8">
        <f>SUM(C498:Z498)</f>
      </c>
    </row>
    <row r="499">
      <c r="A499" s="27">
        <f>'List Ticket'!A499</f>
      </c>
      <c r="B499" s="27">
        <f>'List Ticket'!B499</f>
      </c>
      <c r="C499" s="27">
        <f>IF('List Ticket'!C598=1, 1, 0)</f>
      </c>
      <c r="D499" s="26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8">
        <f>SUM(C499:Z499)</f>
      </c>
    </row>
    <row r="500">
      <c r="A500" s="27">
        <f>'List Ticket'!A500</f>
      </c>
      <c r="B500" s="27">
        <f>'List Ticket'!B500</f>
      </c>
      <c r="C500" s="27">
        <f>IF('List Ticket'!C599=1, 1, 0)</f>
      </c>
      <c r="D500" s="26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8">
        <f>SUM(C500:Z500)</f>
      </c>
    </row>
    <row r="501">
      <c r="A501" s="27">
        <f>'List Ticket'!A501</f>
      </c>
      <c r="B501" s="27">
        <f>'List Ticket'!B501</f>
      </c>
      <c r="C501" s="27">
        <f>IF('List Ticket'!C600=1, 1, 0)</f>
      </c>
      <c r="D501" s="26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8">
        <f>SUM(C501:Z501)</f>
      </c>
    </row>
    <row r="502">
      <c r="A502" s="27">
        <f>'List Ticket'!A502</f>
      </c>
      <c r="B502" s="27">
        <f>'List Ticket'!B502</f>
      </c>
      <c r="C502" s="27">
        <f>IF('List Ticket'!C601=1, 1, 0)</f>
      </c>
      <c r="D502" s="26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8">
        <f>SUM(C502:Z502)</f>
      </c>
    </row>
    <row r="503">
      <c r="A503" s="27">
        <f>'List Ticket'!A503</f>
      </c>
      <c r="B503" s="27">
        <f>'List Ticket'!B503</f>
      </c>
      <c r="C503" s="27">
        <f>IF('List Ticket'!C602=1, 1, 0)</f>
      </c>
      <c r="D503" s="26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8">
        <f>SUM(C503:Z503)</f>
      </c>
    </row>
    <row r="504">
      <c r="A504" s="27">
        <f>'List Ticket'!A504</f>
      </c>
      <c r="B504" s="27">
        <f>'List Ticket'!B504</f>
      </c>
      <c r="C504" s="27">
        <f>IF('List Ticket'!C603=1, 1, 0)</f>
      </c>
      <c r="D504" s="26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8">
        <f>SUM(C504:Z504)</f>
      </c>
    </row>
    <row r="505">
      <c r="A505" s="27">
        <f>'List Ticket'!A505</f>
      </c>
      <c r="B505" s="27">
        <f>'List Ticket'!B505</f>
      </c>
      <c r="C505" s="27">
        <f>IF('List Ticket'!C604=1, 1, 0)</f>
      </c>
      <c r="D505" s="26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8">
        <f>SUM(C505:Z505)</f>
      </c>
    </row>
    <row r="506">
      <c r="A506" s="27">
        <f>'List Ticket'!A506</f>
      </c>
      <c r="B506" s="27">
        <f>'List Ticket'!B506</f>
      </c>
      <c r="C506" s="27">
        <f>IF('List Ticket'!C605=1, 1, 0)</f>
      </c>
      <c r="D506" s="26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8">
        <f>SUM(C506:Z506)</f>
      </c>
    </row>
    <row r="507">
      <c r="A507" s="27">
        <f>'List Ticket'!A507</f>
      </c>
      <c r="B507" s="27">
        <f>'List Ticket'!B507</f>
      </c>
      <c r="C507" s="27">
        <f>IF('List Ticket'!C606=1, 1, 0)</f>
      </c>
      <c r="D507" s="26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8">
        <f>SUM(C507:Z507)</f>
      </c>
    </row>
    <row r="508">
      <c r="A508" s="27">
        <f>'List Ticket'!A508</f>
      </c>
      <c r="B508" s="27">
        <f>'List Ticket'!B508</f>
      </c>
      <c r="C508" s="27">
        <f>IF('List Ticket'!C607=1, 1, 0)</f>
      </c>
      <c r="D508" s="26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8">
        <f>SUM(C508:Z508)</f>
      </c>
    </row>
    <row r="509">
      <c r="A509" s="27">
        <f>'List Ticket'!A509</f>
      </c>
      <c r="B509" s="27">
        <f>'List Ticket'!B509</f>
      </c>
      <c r="C509" s="27">
        <f>IF('List Ticket'!C608=1, 1, 0)</f>
      </c>
      <c r="D509" s="26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8">
        <f>SUM(C509:Z509)</f>
      </c>
    </row>
    <row r="510">
      <c r="A510" s="27">
        <f>'List Ticket'!A510</f>
      </c>
      <c r="B510" s="27">
        <f>'List Ticket'!B510</f>
      </c>
      <c r="C510" s="27">
        <f>IF('List Ticket'!C609=1, 1, 0)</f>
      </c>
      <c r="D510" s="26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8">
        <f>SUM(C510:Z510)</f>
      </c>
    </row>
    <row r="511">
      <c r="A511" s="27">
        <f>'List Ticket'!A511</f>
      </c>
      <c r="B511" s="27">
        <f>'List Ticket'!B511</f>
      </c>
      <c r="C511" s="27">
        <f>IF('List Ticket'!C610=1, 1, 0)</f>
      </c>
      <c r="D511" s="26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8">
        <f>SUM(C511:Z511)</f>
      </c>
    </row>
    <row r="512">
      <c r="A512" s="27">
        <f>'List Ticket'!A512</f>
      </c>
      <c r="B512" s="27">
        <f>'List Ticket'!B512</f>
      </c>
      <c r="C512" s="27">
        <f>IF('List Ticket'!C611=1, 1, 0)</f>
      </c>
      <c r="D512" s="26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8">
        <f>SUM(C512:Z512)</f>
      </c>
    </row>
    <row r="513">
      <c r="A513" s="27">
        <f>'List Ticket'!A513</f>
      </c>
      <c r="B513" s="27">
        <f>'List Ticket'!B513</f>
      </c>
      <c r="C513" s="27">
        <f>IF('List Ticket'!C612=1, 1, 0)</f>
      </c>
      <c r="D513" s="26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8">
        <f>SUM(C513:Z513)</f>
      </c>
    </row>
    <row r="514">
      <c r="A514" s="27">
        <f>'List Ticket'!A514</f>
      </c>
      <c r="B514" s="27">
        <f>'List Ticket'!B514</f>
      </c>
      <c r="C514" s="27">
        <f>IF('List Ticket'!C613=1, 1, 0)</f>
      </c>
      <c r="D514" s="26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8">
        <f>SUM(C514:Z514)</f>
      </c>
    </row>
    <row r="515">
      <c r="A515" s="27">
        <f>'List Ticket'!A515</f>
      </c>
      <c r="B515" s="27">
        <f>'List Ticket'!B515</f>
      </c>
      <c r="C515" s="27">
        <f>IF('List Ticket'!C614=1, 1, 0)</f>
      </c>
      <c r="D515" s="26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8">
        <f>SUM(C515:Z515)</f>
      </c>
    </row>
    <row r="516">
      <c r="A516" s="27">
        <f>'List Ticket'!A516</f>
      </c>
      <c r="B516" s="27">
        <f>'List Ticket'!B516</f>
      </c>
      <c r="C516" s="27">
        <f>IF('List Ticket'!C615=1, 1, 0)</f>
      </c>
      <c r="D516" s="26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8">
        <f>SUM(C516:Z516)</f>
      </c>
    </row>
    <row r="517">
      <c r="A517" s="27">
        <f>'List Ticket'!A517</f>
      </c>
      <c r="B517" s="27">
        <f>'List Ticket'!B517</f>
      </c>
      <c r="C517" s="27">
        <f>IF('List Ticket'!C616=1, 1, 0)</f>
      </c>
      <c r="D517" s="26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8">
        <f>SUM(C517:Z517)</f>
      </c>
    </row>
    <row r="518">
      <c r="A518" s="27">
        <f>'List Ticket'!A518</f>
      </c>
      <c r="B518" s="27">
        <f>'List Ticket'!B518</f>
      </c>
      <c r="C518" s="27">
        <f>IF('List Ticket'!C617=1, 1, 0)</f>
      </c>
      <c r="D518" s="26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8">
        <f>SUM(C518:Z518)</f>
      </c>
    </row>
    <row r="519">
      <c r="A519" s="27">
        <f>'List Ticket'!A519</f>
      </c>
      <c r="B519" s="27">
        <f>'List Ticket'!B519</f>
      </c>
      <c r="C519" s="27">
        <f>IF('List Ticket'!C618=1, 1, 0)</f>
      </c>
      <c r="D519" s="26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8">
        <f>SUM(C519:Z519)</f>
      </c>
    </row>
    <row r="520">
      <c r="A520" s="27">
        <f>'List Ticket'!A520</f>
      </c>
      <c r="B520" s="27">
        <f>'List Ticket'!B520</f>
      </c>
      <c r="C520" s="27">
        <f>IF('List Ticket'!C619=1, 1, 0)</f>
      </c>
      <c r="D520" s="26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8">
        <f>SUM(C520:Z520)</f>
      </c>
    </row>
    <row r="521">
      <c r="A521" s="27">
        <f>'List Ticket'!A521</f>
      </c>
      <c r="B521" s="27">
        <f>'List Ticket'!B521</f>
      </c>
      <c r="C521" s="27">
        <f>IF('List Ticket'!C620=1, 1, 0)</f>
      </c>
      <c r="D521" s="26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8">
        <f>SUM(C521:Z521)</f>
      </c>
    </row>
    <row r="522">
      <c r="A522" s="27">
        <f>'List Ticket'!A522</f>
      </c>
      <c r="B522" s="27">
        <f>'List Ticket'!B522</f>
      </c>
      <c r="C522" s="27">
        <f>IF('List Ticket'!C621=1, 1, 0)</f>
      </c>
      <c r="D522" s="26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8">
        <f>SUM(C522:Z522)</f>
      </c>
    </row>
    <row r="523">
      <c r="A523" s="27">
        <f>'List Ticket'!A523</f>
      </c>
      <c r="B523" s="27">
        <f>'List Ticket'!B523</f>
      </c>
      <c r="C523" s="27">
        <f>IF('List Ticket'!C622=1, 1, 0)</f>
      </c>
      <c r="D523" s="26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8">
        <f>SUM(C523:Z523)</f>
      </c>
    </row>
    <row r="524">
      <c r="A524" s="27">
        <f>'List Ticket'!A524</f>
      </c>
      <c r="B524" s="27">
        <f>'List Ticket'!B524</f>
      </c>
      <c r="C524" s="27">
        <f>IF('List Ticket'!C623=1, 1, 0)</f>
      </c>
      <c r="D524" s="26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8">
        <f>SUM(C524:Z524)</f>
      </c>
    </row>
    <row r="525">
      <c r="A525" s="27">
        <f>'List Ticket'!A525</f>
      </c>
      <c r="B525" s="27">
        <f>'List Ticket'!B525</f>
      </c>
      <c r="C525" s="27">
        <f>IF('List Ticket'!C624=1, 1, 0)</f>
      </c>
      <c r="D525" s="26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8">
        <f>SUM(C525:Z525)</f>
      </c>
    </row>
    <row r="526">
      <c r="A526" s="27">
        <f>'List Ticket'!A526</f>
      </c>
      <c r="B526" s="27">
        <f>'List Ticket'!B526</f>
      </c>
      <c r="C526" s="27">
        <f>IF('List Ticket'!C625=1, 1, 0)</f>
      </c>
      <c r="D526" s="26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8">
        <f>SUM(C526:Z526)</f>
      </c>
    </row>
    <row r="527">
      <c r="A527" s="27">
        <f>'List Ticket'!A527</f>
      </c>
      <c r="B527" s="27">
        <f>'List Ticket'!B527</f>
      </c>
      <c r="C527" s="27">
        <f>IF('List Ticket'!C626=1, 1, 0)</f>
      </c>
      <c r="D527" s="26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8">
        <f>SUM(C527:Z527)</f>
      </c>
    </row>
    <row r="528">
      <c r="A528" s="27">
        <f>'List Ticket'!A528</f>
      </c>
      <c r="B528" s="27">
        <f>'List Ticket'!B528</f>
      </c>
      <c r="C528" s="27">
        <f>IF('List Ticket'!C627=1, 1, 0)</f>
      </c>
      <c r="D528" s="26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8">
        <f>SUM(C528:Z528)</f>
      </c>
    </row>
    <row r="529">
      <c r="A529" s="27">
        <f>'List Ticket'!A529</f>
      </c>
      <c r="B529" s="27">
        <f>'List Ticket'!B529</f>
      </c>
      <c r="C529" s="27">
        <f>IF('List Ticket'!C628=1, 1, 0)</f>
      </c>
      <c r="D529" s="26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8">
        <f>SUM(C529:Z529)</f>
      </c>
    </row>
    <row r="530">
      <c r="A530" s="27">
        <f>'List Ticket'!A530</f>
      </c>
      <c r="B530" s="27">
        <f>'List Ticket'!B530</f>
      </c>
      <c r="C530" s="27">
        <f>IF('List Ticket'!C629=1, 1, 0)</f>
      </c>
      <c r="D530" s="26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8">
        <f>SUM(C530:Z530)</f>
      </c>
    </row>
    <row r="531">
      <c r="A531" s="27">
        <f>'List Ticket'!A531</f>
      </c>
      <c r="B531" s="27">
        <f>'List Ticket'!B531</f>
      </c>
      <c r="C531" s="27">
        <f>IF('List Ticket'!C630=1, 1, 0)</f>
      </c>
      <c r="D531" s="26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8">
        <f>SUM(C531:Z531)</f>
      </c>
    </row>
    <row r="532">
      <c r="A532" s="27">
        <f>'List Ticket'!A532</f>
      </c>
      <c r="B532" s="27">
        <f>'List Ticket'!B532</f>
      </c>
      <c r="C532" s="27">
        <f>IF('List Ticket'!C631=1, 1, 0)</f>
      </c>
      <c r="D532" s="26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8">
        <f>SUM(C532:Z532)</f>
      </c>
    </row>
    <row r="533">
      <c r="A533" s="27">
        <f>'List Ticket'!A533</f>
      </c>
      <c r="B533" s="27">
        <f>'List Ticket'!B533</f>
      </c>
      <c r="C533" s="27">
        <f>IF('List Ticket'!C632=1, 1, 0)</f>
      </c>
      <c r="D533" s="26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8">
        <f>SUM(C533:Z533)</f>
      </c>
    </row>
    <row r="534">
      <c r="A534" s="27">
        <f>'List Ticket'!A534</f>
      </c>
      <c r="B534" s="27">
        <f>'List Ticket'!B534</f>
      </c>
      <c r="C534" s="27">
        <f>IF('List Ticket'!C633=1, 1, 0)</f>
      </c>
      <c r="D534" s="26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8">
        <f>SUM(C534:Z534)</f>
      </c>
    </row>
    <row r="535">
      <c r="A535" s="27">
        <f>'List Ticket'!A535</f>
      </c>
      <c r="B535" s="27">
        <f>'List Ticket'!B535</f>
      </c>
      <c r="C535" s="27">
        <f>IF('List Ticket'!C634=1, 1, 0)</f>
      </c>
      <c r="D535" s="26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8">
        <f>SUM(C535:Z535)</f>
      </c>
    </row>
    <row r="536">
      <c r="A536" s="27">
        <f>'List Ticket'!A536</f>
      </c>
      <c r="B536" s="27">
        <f>'List Ticket'!B536</f>
      </c>
      <c r="C536" s="27">
        <f>IF('List Ticket'!C635=1, 1, 0)</f>
      </c>
      <c r="D536" s="26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8">
        <f>SUM(C536:Z536)</f>
      </c>
    </row>
    <row r="537">
      <c r="A537" s="27">
        <f>'List Ticket'!A537</f>
      </c>
      <c r="B537" s="27">
        <f>'List Ticket'!B537</f>
      </c>
      <c r="C537" s="27">
        <f>IF('List Ticket'!C636=1, 1, 0)</f>
      </c>
      <c r="D537" s="26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8">
        <f>SUM(C537:Z537)</f>
      </c>
    </row>
    <row r="538">
      <c r="A538" s="27">
        <f>'List Ticket'!A538</f>
      </c>
      <c r="B538" s="27">
        <f>'List Ticket'!B538</f>
      </c>
      <c r="C538" s="27">
        <f>IF('List Ticket'!C637=1, 1, 0)</f>
      </c>
      <c r="D538" s="26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8">
        <f>SUM(C538:Z538)</f>
      </c>
    </row>
    <row r="539">
      <c r="A539" s="27">
        <f>'List Ticket'!A539</f>
      </c>
      <c r="B539" s="27">
        <f>'List Ticket'!B539</f>
      </c>
      <c r="C539" s="27">
        <f>IF('List Ticket'!C638=1, 1, 0)</f>
      </c>
      <c r="D539" s="26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8">
        <f>SUM(C539:Z539)</f>
      </c>
    </row>
    <row r="540">
      <c r="A540" s="27">
        <f>'List Ticket'!A540</f>
      </c>
      <c r="B540" s="27">
        <f>'List Ticket'!B540</f>
      </c>
      <c r="C540" s="27">
        <f>IF('List Ticket'!C639=1, 1, 0)</f>
      </c>
      <c r="D540" s="26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8">
        <f>SUM(C540:Z540)</f>
      </c>
    </row>
    <row r="541">
      <c r="A541" s="27">
        <f>'List Ticket'!A541</f>
      </c>
      <c r="B541" s="27">
        <f>'List Ticket'!B541</f>
      </c>
      <c r="C541" s="27">
        <f>IF('List Ticket'!C640=1, 1, 0)</f>
      </c>
      <c r="D541" s="26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8">
        <f>SUM(C541:Z541)</f>
      </c>
    </row>
    <row r="542">
      <c r="A542" s="27">
        <f>'List Ticket'!A542</f>
      </c>
      <c r="B542" s="27">
        <f>'List Ticket'!B542</f>
      </c>
      <c r="C542" s="27">
        <f>IF('List Ticket'!C641=1, 1, 0)</f>
      </c>
      <c r="D542" s="26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8">
        <f>SUM(C542:Z542)</f>
      </c>
    </row>
    <row r="543">
      <c r="A543" s="27">
        <f>'List Ticket'!A543</f>
      </c>
      <c r="B543" s="27">
        <f>'List Ticket'!B543</f>
      </c>
      <c r="C543" s="27">
        <f>IF('List Ticket'!C642=1, 1, 0)</f>
      </c>
      <c r="D543" s="26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8">
        <f>SUM(C543:Z543)</f>
      </c>
    </row>
    <row r="544">
      <c r="A544" s="27">
        <f>'List Ticket'!A544</f>
      </c>
      <c r="B544" s="27">
        <f>'List Ticket'!B544</f>
      </c>
      <c r="C544" s="27">
        <f>IF('List Ticket'!C643=1, 1, 0)</f>
      </c>
      <c r="D544" s="26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8">
        <f>SUM(C544:Z544)</f>
      </c>
    </row>
    <row r="545">
      <c r="A545" s="27">
        <f>'List Ticket'!A545</f>
      </c>
      <c r="B545" s="27">
        <f>'List Ticket'!B545</f>
      </c>
      <c r="C545" s="27">
        <f>IF('List Ticket'!C644=1, 1, 0)</f>
      </c>
      <c r="D545" s="26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8">
        <f>SUM(C545:Z545)</f>
      </c>
    </row>
    <row r="546">
      <c r="A546" s="27">
        <f>'List Ticket'!A546</f>
      </c>
      <c r="B546" s="27">
        <f>'List Ticket'!B546</f>
      </c>
      <c r="C546" s="27">
        <f>IF('List Ticket'!C645=1, 1, 0)</f>
      </c>
      <c r="D546" s="26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8">
        <f>SUM(C546:Z546)</f>
      </c>
    </row>
    <row r="547">
      <c r="A547" s="27">
        <f>'List Ticket'!A547</f>
      </c>
      <c r="B547" s="27">
        <f>'List Ticket'!B547</f>
      </c>
      <c r="C547" s="27">
        <f>IF('List Ticket'!C646=1, 1, 0)</f>
      </c>
      <c r="D547" s="26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8">
        <f>SUM(C547:Z547)</f>
      </c>
    </row>
    <row r="548">
      <c r="A548" s="27">
        <f>'List Ticket'!A548</f>
      </c>
      <c r="B548" s="27">
        <f>'List Ticket'!B548</f>
      </c>
      <c r="C548" s="27">
        <f>IF('List Ticket'!C647=1, 1, 0)</f>
      </c>
      <c r="D548" s="26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8">
        <f>SUM(C548:Z548)</f>
      </c>
    </row>
    <row r="549">
      <c r="A549" s="27">
        <f>'List Ticket'!A549</f>
      </c>
      <c r="B549" s="27">
        <f>'List Ticket'!B549</f>
      </c>
      <c r="C549" s="27">
        <f>IF('List Ticket'!C648=1, 1, 0)</f>
      </c>
      <c r="D549" s="26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8">
        <f>SUM(C549:Z549)</f>
      </c>
    </row>
    <row r="550">
      <c r="A550" s="27">
        <f>'List Ticket'!A550</f>
      </c>
      <c r="B550" s="27">
        <f>'List Ticket'!B550</f>
      </c>
      <c r="C550" s="27">
        <f>IF('List Ticket'!C649=1, 1, 0)</f>
      </c>
      <c r="D550" s="26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8">
        <f>SUM(C550:Z550)</f>
      </c>
    </row>
    <row r="551">
      <c r="A551" s="27">
        <f>'List Ticket'!A551</f>
      </c>
      <c r="B551" s="27">
        <f>'List Ticket'!B551</f>
      </c>
      <c r="C551" s="27">
        <f>IF('List Ticket'!C650=1, 1, 0)</f>
      </c>
      <c r="D551" s="26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8">
        <f>SUM(C551:Z551)</f>
      </c>
    </row>
    <row r="552">
      <c r="A552" s="27">
        <f>'List Ticket'!A552</f>
      </c>
      <c r="B552" s="27">
        <f>'List Ticket'!B552</f>
      </c>
      <c r="C552" s="27">
        <f>IF('List Ticket'!C651=1, 1, 0)</f>
      </c>
      <c r="D552" s="26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8">
        <f>SUM(C552:Z552)</f>
      </c>
    </row>
    <row r="553">
      <c r="A553" s="27">
        <f>'List Ticket'!A553</f>
      </c>
      <c r="B553" s="27">
        <f>'List Ticket'!B553</f>
      </c>
      <c r="C553" s="27">
        <f>IF('List Ticket'!C652=1, 1, 0)</f>
      </c>
      <c r="D553" s="26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8">
        <f>SUM(C553:Z553)</f>
      </c>
    </row>
    <row r="554">
      <c r="A554" s="27">
        <f>'List Ticket'!A554</f>
      </c>
      <c r="B554" s="27">
        <f>'List Ticket'!B554</f>
      </c>
      <c r="C554" s="27">
        <f>IF('List Ticket'!C653=1, 1, 0)</f>
      </c>
      <c r="D554" s="26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8">
        <f>SUM(C554:Z554)</f>
      </c>
    </row>
    <row r="555">
      <c r="A555" s="27">
        <f>'List Ticket'!A555</f>
      </c>
      <c r="B555" s="27">
        <f>'List Ticket'!B555</f>
      </c>
      <c r="C555" s="27">
        <f>IF('List Ticket'!C654=1, 1, 0)</f>
      </c>
      <c r="D555" s="26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8">
        <f>SUM(C555:Z555)</f>
      </c>
    </row>
    <row r="556">
      <c r="A556" s="27">
        <f>'List Ticket'!A556</f>
      </c>
      <c r="B556" s="27">
        <f>'List Ticket'!B556</f>
      </c>
      <c r="C556" s="27">
        <f>IF('List Ticket'!C655=1, 1, 0)</f>
      </c>
      <c r="D556" s="26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8">
        <f>SUM(C556:Z556)</f>
      </c>
    </row>
    <row r="557">
      <c r="A557" s="27">
        <f>'List Ticket'!A557</f>
      </c>
      <c r="B557" s="27">
        <f>'List Ticket'!B557</f>
      </c>
      <c r="C557" s="27">
        <f>IF('List Ticket'!C656=1, 1, 0)</f>
      </c>
      <c r="D557" s="26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8">
        <f>SUM(C557:Z557)</f>
      </c>
    </row>
    <row r="558">
      <c r="A558" s="27">
        <f>'List Ticket'!A558</f>
      </c>
      <c r="B558" s="27">
        <f>'List Ticket'!B558</f>
      </c>
      <c r="C558" s="27">
        <f>IF('List Ticket'!C657=1, 1, 0)</f>
      </c>
      <c r="D558" s="26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8">
        <f>SUM(C558:Z558)</f>
      </c>
    </row>
    <row r="559">
      <c r="A559" s="27">
        <f>'List Ticket'!A559</f>
      </c>
      <c r="B559" s="27">
        <f>'List Ticket'!B559</f>
      </c>
      <c r="C559" s="27">
        <f>IF('List Ticket'!C658=1, 1, 0)</f>
      </c>
      <c r="D559" s="26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8">
        <f>SUM(C559:Z559)</f>
      </c>
    </row>
    <row r="560">
      <c r="A560" s="27">
        <f>'List Ticket'!A560</f>
      </c>
      <c r="B560" s="27">
        <f>'List Ticket'!B560</f>
      </c>
      <c r="C560" s="27">
        <f>IF('List Ticket'!C659=1, 1, 0)</f>
      </c>
      <c r="D560" s="26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8">
        <f>SUM(C560:Z560)</f>
      </c>
    </row>
    <row r="561">
      <c r="A561" s="27">
        <f>'List Ticket'!A561</f>
      </c>
      <c r="B561" s="27">
        <f>'List Ticket'!B561</f>
      </c>
      <c r="C561" s="27">
        <f>IF('List Ticket'!C660=1, 1, 0)</f>
      </c>
      <c r="D561" s="26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8">
        <f>SUM(C561:Z561)</f>
      </c>
    </row>
    <row r="562">
      <c r="A562" s="27">
        <f>'List Ticket'!A562</f>
      </c>
      <c r="B562" s="27">
        <f>'List Ticket'!B562</f>
      </c>
      <c r="C562" s="27">
        <f>IF('List Ticket'!C661=1, 1, 0)</f>
      </c>
      <c r="D562" s="26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8">
        <f>SUM(C562:Z562)</f>
      </c>
    </row>
    <row r="563">
      <c r="A563" s="27">
        <f>'List Ticket'!A563</f>
      </c>
      <c r="B563" s="27">
        <f>'List Ticket'!B563</f>
      </c>
      <c r="C563" s="27">
        <f>IF('List Ticket'!C662=1, 1, 0)</f>
      </c>
      <c r="D563" s="26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8">
        <f>SUM(C563:Z563)</f>
      </c>
    </row>
    <row r="564">
      <c r="A564" s="27">
        <f>'List Ticket'!A564</f>
      </c>
      <c r="B564" s="27">
        <f>'List Ticket'!B564</f>
      </c>
      <c r="C564" s="27">
        <f>IF('List Ticket'!C663=1, 1, 0)</f>
      </c>
      <c r="D564" s="26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8">
        <f>SUM(C564:Z564)</f>
      </c>
    </row>
    <row r="565">
      <c r="A565" s="27">
        <f>'List Ticket'!A565</f>
      </c>
      <c r="B565" s="27">
        <f>'List Ticket'!B565</f>
      </c>
      <c r="C565" s="27">
        <f>IF('List Ticket'!C664=1, 1, 0)</f>
      </c>
      <c r="D565" s="26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8">
        <f>SUM(C565:Z565)</f>
      </c>
    </row>
    <row r="566">
      <c r="A566" s="27">
        <f>'List Ticket'!A566</f>
      </c>
      <c r="B566" s="27">
        <f>'List Ticket'!B566</f>
      </c>
      <c r="C566" s="27">
        <f>IF('List Ticket'!C665=1, 1, 0)</f>
      </c>
      <c r="D566" s="26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8">
        <f>SUM(C566:Z566)</f>
      </c>
    </row>
    <row r="567">
      <c r="A567" s="27">
        <f>'List Ticket'!A567</f>
      </c>
      <c r="B567" s="27">
        <f>'List Ticket'!B567</f>
      </c>
      <c r="C567" s="27">
        <f>IF('List Ticket'!C666=1, 1, 0)</f>
      </c>
      <c r="D567" s="26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8">
        <f>SUM(C567:Z567)</f>
      </c>
    </row>
    <row r="568">
      <c r="A568" s="27">
        <f>'List Ticket'!A568</f>
      </c>
      <c r="B568" s="27">
        <f>'List Ticket'!B568</f>
      </c>
      <c r="C568" s="27">
        <f>IF('List Ticket'!C667=1, 1, 0)</f>
      </c>
      <c r="D568" s="26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8">
        <f>SUM(C568:Z568)</f>
      </c>
    </row>
    <row r="569">
      <c r="A569" s="27">
        <f>'List Ticket'!A569</f>
      </c>
      <c r="B569" s="27">
        <f>'List Ticket'!B569</f>
      </c>
      <c r="C569" s="27">
        <f>IF('List Ticket'!C668=1, 1, 0)</f>
      </c>
      <c r="D569" s="26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8">
        <f>SUM(C569:Z569)</f>
      </c>
    </row>
    <row r="570">
      <c r="A570" s="27">
        <f>'List Ticket'!A570</f>
      </c>
      <c r="B570" s="27">
        <f>'List Ticket'!B570</f>
      </c>
      <c r="C570" s="27">
        <f>IF('List Ticket'!C669=1, 1, 0)</f>
      </c>
      <c r="D570" s="26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8">
        <f>SUM(C570:Z570)</f>
      </c>
    </row>
    <row r="571">
      <c r="A571" s="27">
        <f>'List Ticket'!A571</f>
      </c>
      <c r="B571" s="27">
        <f>'List Ticket'!B571</f>
      </c>
      <c r="C571" s="27">
        <f>IF('List Ticket'!C670=1, 1, 0)</f>
      </c>
      <c r="D571" s="26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8">
        <f>SUM(C571:Z571)</f>
      </c>
    </row>
    <row r="572">
      <c r="A572" s="27">
        <f>'List Ticket'!A572</f>
      </c>
      <c r="B572" s="27">
        <f>'List Ticket'!B572</f>
      </c>
      <c r="C572" s="27">
        <f>IF('List Ticket'!C671=1, 1, 0)</f>
      </c>
      <c r="D572" s="26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8">
        <f>SUM(C572:Z572)</f>
      </c>
    </row>
    <row r="573">
      <c r="A573" s="27">
        <f>'List Ticket'!A573</f>
      </c>
      <c r="B573" s="27">
        <f>'List Ticket'!B573</f>
      </c>
      <c r="C573" s="27">
        <f>IF('List Ticket'!C672=1, 1, 0)</f>
      </c>
      <c r="D573" s="26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8">
        <f>SUM(C573:Z573)</f>
      </c>
    </row>
    <row r="574">
      <c r="A574" s="27">
        <f>'List Ticket'!A574</f>
      </c>
      <c r="B574" s="27">
        <f>'List Ticket'!B574</f>
      </c>
      <c r="C574" s="27">
        <f>IF('List Ticket'!C673=1, 1, 0)</f>
      </c>
      <c r="D574" s="26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8">
        <f>SUM(C574:Z574)</f>
      </c>
    </row>
    <row r="575">
      <c r="A575" s="27">
        <f>'List Ticket'!A575</f>
      </c>
      <c r="B575" s="27">
        <f>'List Ticket'!B575</f>
      </c>
      <c r="C575" s="27">
        <f>IF('List Ticket'!C674=1, 1, 0)</f>
      </c>
      <c r="D575" s="26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8">
        <f>SUM(C575:Z575)</f>
      </c>
    </row>
    <row r="576">
      <c r="A576" s="27">
        <f>'List Ticket'!A576</f>
      </c>
      <c r="B576" s="27">
        <f>'List Ticket'!B576</f>
      </c>
      <c r="C576" s="27">
        <f>IF('List Ticket'!C675=1, 1, 0)</f>
      </c>
      <c r="D576" s="26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8">
        <f>SUM(C576:Z576)</f>
      </c>
    </row>
    <row r="577">
      <c r="A577" s="27">
        <f>'List Ticket'!A577</f>
      </c>
      <c r="B577" s="27">
        <f>'List Ticket'!B577</f>
      </c>
      <c r="C577" s="27">
        <f>IF('List Ticket'!C676=1, 1, 0)</f>
      </c>
      <c r="D577" s="26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8">
        <f>SUM(C577:Z577)</f>
      </c>
    </row>
    <row r="578">
      <c r="A578" s="27">
        <f>'List Ticket'!A578</f>
      </c>
      <c r="B578" s="27">
        <f>'List Ticket'!B578</f>
      </c>
      <c r="C578" s="27">
        <f>IF('List Ticket'!C677=1, 1, 0)</f>
      </c>
      <c r="D578" s="26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8">
        <f>SUM(C578:Z578)</f>
      </c>
    </row>
    <row r="579">
      <c r="A579" s="27">
        <f>'List Ticket'!A579</f>
      </c>
      <c r="B579" s="27">
        <f>'List Ticket'!B579</f>
      </c>
      <c r="C579" s="27">
        <f>IF('List Ticket'!C678=1, 1, 0)</f>
      </c>
      <c r="D579" s="26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8">
        <f>SUM(C579:Z579)</f>
      </c>
    </row>
    <row r="580">
      <c r="A580" s="27">
        <f>'List Ticket'!A580</f>
      </c>
      <c r="B580" s="27">
        <f>'List Ticket'!B580</f>
      </c>
      <c r="C580" s="27">
        <f>IF('List Ticket'!C679=1, 1, 0)</f>
      </c>
      <c r="D580" s="26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8">
        <f>SUM(C580:Z580)</f>
      </c>
    </row>
    <row r="581">
      <c r="A581" s="27">
        <f>'List Ticket'!A581</f>
      </c>
      <c r="B581" s="27">
        <f>'List Ticket'!B581</f>
      </c>
      <c r="C581" s="27">
        <f>IF('List Ticket'!C680=1, 1, 0)</f>
      </c>
      <c r="D581" s="26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8">
        <f>SUM(C581:Z581)</f>
      </c>
    </row>
    <row r="582">
      <c r="A582" s="27">
        <f>'List Ticket'!A582</f>
      </c>
      <c r="B582" s="27">
        <f>'List Ticket'!B582</f>
      </c>
      <c r="C582" s="27">
        <f>IF('List Ticket'!C681=1, 1, 0)</f>
      </c>
      <c r="D582" s="26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8">
        <f>SUM(C582:Z582)</f>
      </c>
    </row>
    <row r="583">
      <c r="A583" s="27">
        <f>'List Ticket'!A583</f>
      </c>
      <c r="B583" s="27">
        <f>'List Ticket'!B583</f>
      </c>
      <c r="C583" s="27">
        <f>IF('List Ticket'!C682=1, 1, 0)</f>
      </c>
      <c r="D583" s="26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8">
        <f>SUM(C583:Z583)</f>
      </c>
    </row>
    <row r="584">
      <c r="A584" s="27">
        <f>'List Ticket'!A584</f>
      </c>
      <c r="B584" s="27">
        <f>'List Ticket'!B584</f>
      </c>
      <c r="C584" s="27">
        <f>IF('List Ticket'!C683=1, 1, 0)</f>
      </c>
      <c r="D584" s="26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8">
        <f>SUM(C584:Z584)</f>
      </c>
    </row>
    <row r="585">
      <c r="A585" s="27">
        <f>'List Ticket'!A585</f>
      </c>
      <c r="B585" s="27">
        <f>'List Ticket'!B585</f>
      </c>
      <c r="C585" s="27">
        <f>IF('List Ticket'!C684=1, 1, 0)</f>
      </c>
      <c r="D585" s="26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8">
        <f>SUM(C585:Z585)</f>
      </c>
    </row>
    <row r="586">
      <c r="A586" s="27">
        <f>'List Ticket'!A586</f>
      </c>
      <c r="B586" s="27">
        <f>'List Ticket'!B586</f>
      </c>
      <c r="C586" s="27">
        <f>IF('List Ticket'!C685=1, 1, 0)</f>
      </c>
      <c r="D586" s="26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8">
        <f>SUM(C586:Z586)</f>
      </c>
    </row>
    <row r="587">
      <c r="A587" s="27">
        <f>'List Ticket'!A587</f>
      </c>
      <c r="B587" s="27">
        <f>'List Ticket'!B587</f>
      </c>
      <c r="C587" s="27">
        <f>IF('List Ticket'!C686=1, 1, 0)</f>
      </c>
      <c r="D587" s="26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8">
        <f>SUM(C587:Z587)</f>
      </c>
    </row>
    <row r="588">
      <c r="A588" s="27">
        <f>'List Ticket'!A588</f>
      </c>
      <c r="B588" s="27">
        <f>'List Ticket'!B588</f>
      </c>
      <c r="C588" s="27">
        <f>IF('List Ticket'!C687=1, 1, 0)</f>
      </c>
      <c r="D588" s="26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8">
        <f>SUM(C588:Z588)</f>
      </c>
    </row>
    <row r="589">
      <c r="A589" s="27">
        <f>'List Ticket'!A589</f>
      </c>
      <c r="B589" s="27">
        <f>'List Ticket'!B589</f>
      </c>
      <c r="C589" s="27">
        <f>IF('List Ticket'!C688=1, 1, 0)</f>
      </c>
      <c r="D589" s="26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8">
        <f>SUM(C589:Z589)</f>
      </c>
    </row>
    <row r="590">
      <c r="A590" s="27">
        <f>'List Ticket'!A590</f>
      </c>
      <c r="B590" s="27">
        <f>'List Ticket'!B590</f>
      </c>
      <c r="C590" s="27">
        <f>IF('List Ticket'!C689=1, 1, 0)</f>
      </c>
      <c r="D590" s="26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8">
        <f>SUM(C590:Z590)</f>
      </c>
    </row>
    <row r="591">
      <c r="A591" s="27">
        <f>'List Ticket'!A591</f>
      </c>
      <c r="B591" s="27">
        <f>'List Ticket'!B591</f>
      </c>
      <c r="C591" s="27">
        <f>IF('List Ticket'!C690=1, 1, 0)</f>
      </c>
      <c r="D591" s="26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8">
        <f>SUM(C591:Z591)</f>
      </c>
    </row>
    <row r="592">
      <c r="A592" s="27">
        <f>'List Ticket'!A592</f>
      </c>
      <c r="B592" s="27">
        <f>'List Ticket'!B592</f>
      </c>
      <c r="C592" s="27">
        <f>IF('List Ticket'!C691=1, 1, 0)</f>
      </c>
      <c r="D592" s="26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8">
        <f>SUM(C592:Z592)</f>
      </c>
    </row>
    <row r="593">
      <c r="A593" s="27">
        <f>'List Ticket'!A593</f>
      </c>
      <c r="B593" s="27">
        <f>'List Ticket'!B593</f>
      </c>
      <c r="C593" s="27">
        <f>IF('List Ticket'!C692=1, 1, 0)</f>
      </c>
      <c r="D593" s="26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8">
        <f>SUM(C593:Z593)</f>
      </c>
    </row>
    <row r="594">
      <c r="A594" s="27">
        <f>'List Ticket'!A594</f>
      </c>
      <c r="B594" s="27">
        <f>'List Ticket'!B594</f>
      </c>
      <c r="C594" s="27">
        <f>IF('List Ticket'!C693=1, 1, 0)</f>
      </c>
      <c r="D594" s="26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8">
        <f>SUM(C594:Z594)</f>
      </c>
    </row>
    <row r="595">
      <c r="A595" s="27">
        <f>'List Ticket'!A595</f>
      </c>
      <c r="B595" s="27">
        <f>'List Ticket'!B595</f>
      </c>
      <c r="C595" s="27">
        <f>IF('List Ticket'!C694=1, 1, 0)</f>
      </c>
      <c r="D595" s="26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8">
        <f>SUM(C595:Z595)</f>
      </c>
    </row>
    <row r="596">
      <c r="A596" s="27">
        <f>'List Ticket'!A596</f>
      </c>
      <c r="B596" s="27">
        <f>'List Ticket'!B596</f>
      </c>
      <c r="C596" s="27">
        <f>IF('List Ticket'!C695=1, 1, 0)</f>
      </c>
      <c r="D596" s="26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8">
        <f>SUM(C596:Z596)</f>
      </c>
    </row>
    <row r="597">
      <c r="A597" s="27">
        <f>'List Ticket'!A597</f>
      </c>
      <c r="B597" s="27">
        <f>'List Ticket'!B597</f>
      </c>
      <c r="C597" s="27">
        <f>IF('List Ticket'!C696=1, 1, 0)</f>
      </c>
      <c r="D597" s="26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8">
        <f>SUM(C597:Z597)</f>
      </c>
    </row>
    <row r="598">
      <c r="A598" s="27">
        <f>'List Ticket'!A598</f>
      </c>
      <c r="B598" s="27">
        <f>'List Ticket'!B598</f>
      </c>
      <c r="C598" s="27">
        <f>IF('List Ticket'!C697=1, 1, 0)</f>
      </c>
      <c r="D598" s="26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8">
        <f>SUM(C598:Z598)</f>
      </c>
    </row>
    <row r="599">
      <c r="A599" s="27">
        <f>'List Ticket'!A599</f>
      </c>
      <c r="B599" s="27">
        <f>'List Ticket'!B599</f>
      </c>
      <c r="C599" s="27">
        <f>IF('List Ticket'!C698=1, 1, 0)</f>
      </c>
      <c r="D599" s="26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8">
        <f>SUM(C599:Z599)</f>
      </c>
    </row>
    <row r="600">
      <c r="A600" s="27">
        <f>'List Ticket'!A600</f>
      </c>
      <c r="B600" s="27">
        <f>'List Ticket'!B600</f>
      </c>
      <c r="C600" s="27">
        <f>IF('List Ticket'!C699=1, 1, 0)</f>
      </c>
      <c r="D600" s="26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8">
        <f>SUM(C600:Z600)</f>
      </c>
    </row>
    <row r="601">
      <c r="A601" s="27">
        <f>'List Ticket'!A601</f>
      </c>
      <c r="B601" s="27">
        <f>'List Ticket'!B601</f>
      </c>
      <c r="C601" s="27">
        <f>IF('List Ticket'!C700=1, 1, 0)</f>
      </c>
      <c r="D601" s="26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8">
        <f>SUM(C601:Z601)</f>
      </c>
    </row>
    <row r="602">
      <c r="A602" s="27">
        <f>'List Ticket'!A602</f>
      </c>
      <c r="B602" s="27">
        <f>'List Ticket'!B602</f>
      </c>
      <c r="C602" s="27">
        <f>IF('List Ticket'!C701=1, 1, 0)</f>
      </c>
      <c r="D602" s="26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8">
        <f>SUM(C602:Z602)</f>
      </c>
    </row>
    <row r="603">
      <c r="A603" s="27">
        <f>'List Ticket'!A603</f>
      </c>
      <c r="B603" s="27">
        <f>'List Ticket'!B603</f>
      </c>
      <c r="C603" s="27">
        <f>IF('List Ticket'!C702=1, 1, 0)</f>
      </c>
      <c r="D603" s="26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8">
        <f>SUM(C603:Z603)</f>
      </c>
    </row>
    <row r="604">
      <c r="A604" s="27">
        <f>'List Ticket'!A604</f>
      </c>
      <c r="B604" s="27">
        <f>'List Ticket'!B604</f>
      </c>
      <c r="C604" s="27">
        <f>IF('List Ticket'!C703=1, 1, 0)</f>
      </c>
      <c r="D604" s="26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8">
        <f>SUM(C604:Z604)</f>
      </c>
    </row>
    <row r="605">
      <c r="A605" s="27">
        <f>'List Ticket'!A605</f>
      </c>
      <c r="B605" s="27">
        <f>'List Ticket'!B605</f>
      </c>
      <c r="C605" s="27">
        <f>IF('List Ticket'!C704=1, 1, 0)</f>
      </c>
      <c r="D605" s="26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8">
        <f>SUM(C605:Z605)</f>
      </c>
    </row>
    <row r="606">
      <c r="A606" s="27">
        <f>'List Ticket'!A606</f>
      </c>
      <c r="B606" s="27">
        <f>'List Ticket'!B606</f>
      </c>
      <c r="C606" s="27">
        <f>IF('List Ticket'!C705=1, 1, 0)</f>
      </c>
      <c r="D606" s="26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8">
        <f>SUM(C606:Z606)</f>
      </c>
    </row>
    <row r="607">
      <c r="A607" s="27">
        <f>'List Ticket'!A607</f>
      </c>
      <c r="B607" s="27">
        <f>'List Ticket'!B607</f>
      </c>
      <c r="C607" s="27">
        <f>IF('List Ticket'!C706=1, 1, 0)</f>
      </c>
      <c r="D607" s="26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8">
        <f>SUM(C607:Z607)</f>
      </c>
    </row>
    <row r="608">
      <c r="A608" s="27">
        <f>'List Ticket'!A608</f>
      </c>
      <c r="B608" s="27">
        <f>'List Ticket'!B608</f>
      </c>
      <c r="C608" s="27">
        <f>IF('List Ticket'!C707=1, 1, 0)</f>
      </c>
      <c r="D608" s="26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8">
        <f>SUM(C608:Z608)</f>
      </c>
    </row>
    <row r="609">
      <c r="A609" s="27">
        <f>'List Ticket'!A609</f>
      </c>
      <c r="B609" s="27">
        <f>'List Ticket'!B609</f>
      </c>
      <c r="C609" s="27">
        <f>IF('List Ticket'!C708=1, 1, 0)</f>
      </c>
      <c r="D609" s="26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8">
        <f>SUM(C609:Z609)</f>
      </c>
    </row>
    <row r="610">
      <c r="A610" s="27">
        <f>'List Ticket'!A610</f>
      </c>
      <c r="B610" s="27">
        <f>'List Ticket'!B610</f>
      </c>
      <c r="C610" s="27">
        <f>IF('List Ticket'!C709=1, 1, 0)</f>
      </c>
      <c r="D610" s="26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8">
        <f>SUM(C610:Z610)</f>
      </c>
    </row>
    <row r="611">
      <c r="A611" s="27">
        <f>'List Ticket'!A611</f>
      </c>
      <c r="B611" s="27">
        <f>'List Ticket'!B611</f>
      </c>
      <c r="C611" s="27">
        <f>IF('List Ticket'!C710=1, 1, 0)</f>
      </c>
      <c r="D611" s="26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8">
        <f>SUM(C611:Z611)</f>
      </c>
    </row>
    <row r="612">
      <c r="A612" s="27">
        <f>'List Ticket'!A612</f>
      </c>
      <c r="B612" s="27">
        <f>'List Ticket'!B612</f>
      </c>
      <c r="C612" s="27">
        <f>IF('List Ticket'!C711=1, 1, 0)</f>
      </c>
      <c r="D612" s="26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8">
        <f>SUM(C612:Z612)</f>
      </c>
    </row>
    <row r="613">
      <c r="A613" s="27">
        <f>'List Ticket'!A613</f>
      </c>
      <c r="B613" s="27">
        <f>'List Ticket'!B613</f>
      </c>
      <c r="C613" s="27">
        <f>IF('List Ticket'!C712=1, 1, 0)</f>
      </c>
      <c r="D613" s="26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8">
        <f>SUM(C613:Z613)</f>
      </c>
    </row>
    <row r="614">
      <c r="A614" s="27">
        <f>'List Ticket'!A614</f>
      </c>
      <c r="B614" s="27">
        <f>'List Ticket'!B614</f>
      </c>
      <c r="C614" s="27">
        <f>IF('List Ticket'!C713=1, 1, 0)</f>
      </c>
      <c r="D614" s="26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8">
        <f>SUM(C614:Z614)</f>
      </c>
    </row>
    <row r="615">
      <c r="A615" s="27">
        <f>'List Ticket'!A615</f>
      </c>
      <c r="B615" s="27">
        <f>'List Ticket'!B615</f>
      </c>
      <c r="C615" s="27">
        <f>IF('List Ticket'!C714=1, 1, 0)</f>
      </c>
      <c r="D615" s="26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8">
        <f>SUM(C615:Z615)</f>
      </c>
    </row>
    <row r="616">
      <c r="A616" s="27">
        <f>'List Ticket'!A616</f>
      </c>
      <c r="B616" s="27">
        <f>'List Ticket'!B616</f>
      </c>
      <c r="C616" s="27">
        <f>IF('List Ticket'!C715=1, 1, 0)</f>
      </c>
      <c r="D616" s="26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8">
        <f>SUM(C616:Z616)</f>
      </c>
    </row>
    <row r="617">
      <c r="A617" s="27">
        <f>'List Ticket'!A617</f>
      </c>
      <c r="B617" s="27">
        <f>'List Ticket'!B617</f>
      </c>
      <c r="C617" s="27">
        <f>IF('List Ticket'!C716=1, 1, 0)</f>
      </c>
      <c r="D617" s="26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8">
        <f>SUM(C617:Z617)</f>
      </c>
    </row>
    <row r="618">
      <c r="A618" s="27">
        <f>'List Ticket'!A618</f>
      </c>
      <c r="B618" s="27">
        <f>'List Ticket'!B618</f>
      </c>
      <c r="C618" s="27">
        <f>IF('List Ticket'!C717=1, 1, 0)</f>
      </c>
      <c r="D618" s="26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8">
        <f>SUM(C618:Z618)</f>
      </c>
    </row>
    <row r="619">
      <c r="A619" s="27">
        <f>'List Ticket'!A619</f>
      </c>
      <c r="B619" s="27">
        <f>'List Ticket'!B619</f>
      </c>
      <c r="C619" s="27">
        <f>IF('List Ticket'!C718=1, 1, 0)</f>
      </c>
      <c r="D619" s="26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8">
        <f>SUM(C619:Z619)</f>
      </c>
    </row>
    <row r="620">
      <c r="A620" s="27">
        <f>'List Ticket'!A620</f>
      </c>
      <c r="B620" s="27">
        <f>'List Ticket'!B620</f>
      </c>
      <c r="C620" s="27">
        <f>IF('List Ticket'!C719=1, 1, 0)</f>
      </c>
      <c r="D620" s="26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8">
        <f>SUM(C620:Z620)</f>
      </c>
    </row>
    <row r="621">
      <c r="A621" s="27">
        <f>'List Ticket'!A621</f>
      </c>
      <c r="B621" s="27">
        <f>'List Ticket'!B621</f>
      </c>
      <c r="C621" s="27">
        <f>IF('List Ticket'!C720=1, 1, 0)</f>
      </c>
      <c r="D621" s="26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8">
        <f>SUM(C621:Z621)</f>
      </c>
    </row>
    <row r="622">
      <c r="A622" s="27">
        <f>'List Ticket'!A622</f>
      </c>
      <c r="B622" s="27">
        <f>'List Ticket'!B622</f>
      </c>
      <c r="C622" s="27">
        <f>IF('List Ticket'!C721=1, 1, 0)</f>
      </c>
      <c r="D622" s="26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8">
        <f>SUM(C622:Z622)</f>
      </c>
    </row>
    <row r="623">
      <c r="A623" s="27">
        <f>'List Ticket'!A623</f>
      </c>
      <c r="B623" s="27">
        <f>'List Ticket'!B623</f>
      </c>
      <c r="C623" s="27">
        <f>IF('List Ticket'!C722=1, 1, 0)</f>
      </c>
      <c r="D623" s="26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8">
        <f>SUM(C623:Z623)</f>
      </c>
    </row>
    <row r="624">
      <c r="A624" s="27">
        <f>'List Ticket'!A624</f>
      </c>
      <c r="B624" s="27">
        <f>'List Ticket'!B624</f>
      </c>
      <c r="C624" s="27">
        <f>IF('List Ticket'!C723=1, 1, 0)</f>
      </c>
      <c r="D624" s="26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8">
        <f>SUM(C624:Z624)</f>
      </c>
    </row>
    <row r="625">
      <c r="A625" s="27">
        <f>'List Ticket'!A625</f>
      </c>
      <c r="B625" s="27">
        <f>'List Ticket'!B625</f>
      </c>
      <c r="C625" s="27">
        <f>IF('List Ticket'!C724=1, 1, 0)</f>
      </c>
      <c r="D625" s="26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8">
        <f>SUM(C625:Z625)</f>
      </c>
    </row>
    <row r="626">
      <c r="A626" s="27">
        <f>'List Ticket'!A626</f>
      </c>
      <c r="B626" s="27">
        <f>'List Ticket'!B626</f>
      </c>
      <c r="C626" s="27">
        <f>IF('List Ticket'!C725=1, 1, 0)</f>
      </c>
      <c r="D626" s="26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8">
        <f>SUM(C626:Z626)</f>
      </c>
    </row>
    <row r="627">
      <c r="A627" s="27">
        <f>'List Ticket'!A627</f>
      </c>
      <c r="B627" s="27">
        <f>'List Ticket'!B627</f>
      </c>
      <c r="C627" s="27">
        <f>IF('List Ticket'!C726=1, 1, 0)</f>
      </c>
      <c r="D627" s="26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8">
        <f>SUM(C627:Z627)</f>
      </c>
    </row>
    <row r="628">
      <c r="A628" s="27">
        <f>'List Ticket'!A628</f>
      </c>
      <c r="B628" s="27">
        <f>'List Ticket'!B628</f>
      </c>
      <c r="C628" s="27">
        <f>IF('List Ticket'!C727=1, 1, 0)</f>
      </c>
      <c r="D628" s="26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8">
        <f>SUM(C628:Z628)</f>
      </c>
    </row>
    <row r="629">
      <c r="A629" s="27">
        <f>'List Ticket'!A629</f>
      </c>
      <c r="B629" s="27">
        <f>'List Ticket'!B629</f>
      </c>
      <c r="C629" s="27">
        <f>IF('List Ticket'!C728=1, 1, 0)</f>
      </c>
      <c r="D629" s="26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8">
        <f>SUM(C629:Z629)</f>
      </c>
    </row>
    <row r="630">
      <c r="A630" s="27">
        <f>'List Ticket'!A630</f>
      </c>
      <c r="B630" s="27">
        <f>'List Ticket'!B630</f>
      </c>
      <c r="C630" s="27">
        <f>IF('List Ticket'!C729=1, 1, 0)</f>
      </c>
      <c r="D630" s="26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8">
        <f>SUM(C630:Z630)</f>
      </c>
    </row>
    <row r="631">
      <c r="A631" s="27">
        <f>'List Ticket'!A631</f>
      </c>
      <c r="B631" s="27">
        <f>'List Ticket'!B631</f>
      </c>
      <c r="C631" s="27">
        <f>IF('List Ticket'!C730=1, 1, 0)</f>
      </c>
      <c r="D631" s="26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8">
        <f>SUM(C631:Z631)</f>
      </c>
    </row>
    <row r="632">
      <c r="A632" s="27">
        <f>'List Ticket'!A632</f>
      </c>
      <c r="B632" s="27">
        <f>'List Ticket'!B632</f>
      </c>
      <c r="C632" s="27">
        <f>IF('List Ticket'!C731=1, 1, 0)</f>
      </c>
      <c r="D632" s="26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8">
        <f>SUM(C632:Z632)</f>
      </c>
    </row>
    <row r="633">
      <c r="A633" s="27">
        <f>'List Ticket'!A633</f>
      </c>
      <c r="B633" s="27">
        <f>'List Ticket'!B633</f>
      </c>
      <c r="C633" s="27">
        <f>IF('List Ticket'!C732=1, 1, 0)</f>
      </c>
      <c r="D633" s="26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8">
        <f>SUM(C633:Z633)</f>
      </c>
    </row>
    <row r="634">
      <c r="A634" s="27">
        <f>'List Ticket'!A634</f>
      </c>
      <c r="B634" s="27">
        <f>'List Ticket'!B634</f>
      </c>
      <c r="C634" s="27">
        <f>IF('List Ticket'!C733=1, 1, 0)</f>
      </c>
      <c r="D634" s="26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8">
        <f>SUM(C634:Z634)</f>
      </c>
    </row>
    <row r="635">
      <c r="A635" s="27">
        <f>'List Ticket'!A635</f>
      </c>
      <c r="B635" s="27">
        <f>'List Ticket'!B635</f>
      </c>
      <c r="C635" s="27">
        <f>IF('List Ticket'!C734=1, 1, 0)</f>
      </c>
      <c r="D635" s="26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8">
        <f>SUM(C635:Z635)</f>
      </c>
    </row>
    <row r="636">
      <c r="A636" s="27">
        <f>'List Ticket'!A636</f>
      </c>
      <c r="B636" s="27">
        <f>'List Ticket'!B636</f>
      </c>
      <c r="C636" s="27">
        <f>IF('List Ticket'!C735=1, 1, 0)</f>
      </c>
      <c r="D636" s="26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8">
        <f>SUM(C636:Z636)</f>
      </c>
    </row>
    <row r="637">
      <c r="A637" s="27">
        <f>'List Ticket'!A637</f>
      </c>
      <c r="B637" s="27">
        <f>'List Ticket'!B637</f>
      </c>
      <c r="C637" s="27">
        <f>IF('List Ticket'!C736=1, 1, 0)</f>
      </c>
      <c r="D637" s="26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8">
        <f>SUM(C637:Z637)</f>
      </c>
    </row>
    <row r="638">
      <c r="A638" s="27">
        <f>'List Ticket'!A638</f>
      </c>
      <c r="B638" s="27">
        <f>'List Ticket'!B638</f>
      </c>
      <c r="C638" s="27">
        <f>IF('List Ticket'!C737=1, 1, 0)</f>
      </c>
      <c r="D638" s="26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8">
        <f>SUM(C638:Z638)</f>
      </c>
    </row>
    <row r="639">
      <c r="A639" s="27">
        <f>'List Ticket'!A639</f>
      </c>
      <c r="B639" s="27">
        <f>'List Ticket'!B639</f>
      </c>
      <c r="C639" s="27">
        <f>IF('List Ticket'!C738=1, 1, 0)</f>
      </c>
      <c r="D639" s="26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8">
        <f>SUM(C639:Z639)</f>
      </c>
    </row>
    <row r="640">
      <c r="A640" s="27">
        <f>'List Ticket'!A640</f>
      </c>
      <c r="B640" s="27">
        <f>'List Ticket'!B640</f>
      </c>
      <c r="C640" s="27">
        <f>IF('List Ticket'!C739=1, 1, 0)</f>
      </c>
      <c r="D640" s="26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8">
        <f>SUM(C640:Z640)</f>
      </c>
    </row>
    <row r="641">
      <c r="A641" s="27">
        <f>'List Ticket'!A641</f>
      </c>
      <c r="B641" s="27">
        <f>'List Ticket'!B641</f>
      </c>
      <c r="C641" s="27">
        <f>IF('List Ticket'!C740=1, 1, 0)</f>
      </c>
      <c r="D641" s="26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8">
        <f>SUM(C641:Z641)</f>
      </c>
    </row>
    <row r="642">
      <c r="A642" s="27">
        <f>'List Ticket'!A642</f>
      </c>
      <c r="B642" s="27">
        <f>'List Ticket'!B642</f>
      </c>
      <c r="C642" s="27">
        <f>IF('List Ticket'!C741=1, 1, 0)</f>
      </c>
      <c r="D642" s="26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8">
        <f>SUM(C642:Z642)</f>
      </c>
    </row>
    <row r="643">
      <c r="A643" s="27">
        <f>'List Ticket'!A643</f>
      </c>
      <c r="B643" s="27">
        <f>'List Ticket'!B643</f>
      </c>
      <c r="C643" s="27">
        <f>IF('List Ticket'!C742=1, 1, 0)</f>
      </c>
      <c r="D643" s="26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8">
        <f>SUM(C643:Z643)</f>
      </c>
    </row>
    <row r="644">
      <c r="A644" s="27">
        <f>'List Ticket'!A644</f>
      </c>
      <c r="B644" s="27">
        <f>'List Ticket'!B644</f>
      </c>
      <c r="C644" s="27">
        <f>IF('List Ticket'!C743=1, 1, 0)</f>
      </c>
      <c r="D644" s="26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8">
        <f>SUM(C644:Z644)</f>
      </c>
    </row>
    <row r="645">
      <c r="A645" s="27">
        <f>'List Ticket'!A645</f>
      </c>
      <c r="B645" s="27">
        <f>'List Ticket'!B645</f>
      </c>
      <c r="C645" s="27">
        <f>IF('List Ticket'!C744=1, 1, 0)</f>
      </c>
      <c r="D645" s="26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8">
        <f>SUM(C645:Z645)</f>
      </c>
    </row>
    <row r="646">
      <c r="A646" s="27">
        <f>'List Ticket'!A646</f>
      </c>
      <c r="B646" s="27">
        <f>'List Ticket'!B646</f>
      </c>
      <c r="C646" s="27">
        <f>IF('List Ticket'!C745=1, 1, 0)</f>
      </c>
      <c r="D646" s="26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8">
        <f>SUM(C646:Z646)</f>
      </c>
    </row>
    <row r="647">
      <c r="A647" s="27">
        <f>'List Ticket'!A647</f>
      </c>
      <c r="B647" s="27">
        <f>'List Ticket'!B647</f>
      </c>
      <c r="C647" s="27">
        <f>IF('List Ticket'!C746=1, 1, 0)</f>
      </c>
      <c r="D647" s="26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8">
        <f>SUM(C647:Z647)</f>
      </c>
    </row>
    <row r="648">
      <c r="A648" s="27">
        <f>'List Ticket'!A648</f>
      </c>
      <c r="B648" s="27">
        <f>'List Ticket'!B648</f>
      </c>
      <c r="C648" s="27">
        <f>IF('List Ticket'!C747=1, 1, 0)</f>
      </c>
      <c r="D648" s="26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8">
        <f>SUM(C648:Z648)</f>
      </c>
    </row>
    <row r="649">
      <c r="A649" s="27">
        <f>'List Ticket'!A649</f>
      </c>
      <c r="B649" s="27">
        <f>'List Ticket'!B649</f>
      </c>
      <c r="C649" s="27">
        <f>IF('List Ticket'!C748=1, 1, 0)</f>
      </c>
      <c r="D649" s="26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8">
        <f>SUM(C649:Z649)</f>
      </c>
    </row>
    <row r="650">
      <c r="A650" s="27">
        <f>'List Ticket'!A650</f>
      </c>
      <c r="B650" s="27">
        <f>'List Ticket'!B650</f>
      </c>
      <c r="C650" s="27">
        <f>IF('List Ticket'!C749=1, 1, 0)</f>
      </c>
      <c r="D650" s="26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8">
        <f>SUM(C650:Z650)</f>
      </c>
    </row>
    <row r="651">
      <c r="A651" s="27">
        <f>'List Ticket'!A651</f>
      </c>
      <c r="B651" s="27">
        <f>'List Ticket'!B651</f>
      </c>
      <c r="C651" s="27">
        <f>IF('List Ticket'!C750=1, 1, 0)</f>
      </c>
      <c r="D651" s="26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8">
        <f>SUM(C651:Z651)</f>
      </c>
    </row>
    <row r="652">
      <c r="A652" s="27">
        <f>'List Ticket'!A652</f>
      </c>
      <c r="B652" s="27">
        <f>'List Ticket'!B652</f>
      </c>
      <c r="C652" s="27">
        <f>IF('List Ticket'!C751=1, 1, 0)</f>
      </c>
      <c r="D652" s="26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8">
        <f>SUM(C652:Z652)</f>
      </c>
    </row>
    <row r="653">
      <c r="A653" s="27">
        <f>'List Ticket'!A653</f>
      </c>
      <c r="B653" s="27">
        <f>'List Ticket'!B653</f>
      </c>
      <c r="C653" s="27">
        <f>IF('List Ticket'!C752=1, 1, 0)</f>
      </c>
      <c r="D653" s="26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8">
        <f>SUM(C653:Z653)</f>
      </c>
    </row>
    <row r="654">
      <c r="A654" s="27">
        <f>'List Ticket'!A654</f>
      </c>
      <c r="B654" s="27">
        <f>'List Ticket'!B654</f>
      </c>
      <c r="C654" s="27">
        <f>IF('List Ticket'!C753=1, 1, 0)</f>
      </c>
      <c r="D654" s="26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8">
        <f>SUM(C654:Z654)</f>
      </c>
    </row>
    <row r="655">
      <c r="A655" s="27">
        <f>'List Ticket'!A655</f>
      </c>
      <c r="B655" s="27">
        <f>'List Ticket'!B655</f>
      </c>
      <c r="C655" s="27">
        <f>IF('List Ticket'!C754=1, 1, 0)</f>
      </c>
      <c r="D655" s="26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8">
        <f>SUM(C655:Z655)</f>
      </c>
    </row>
    <row r="656">
      <c r="A656" s="27">
        <f>'List Ticket'!A656</f>
      </c>
      <c r="B656" s="27">
        <f>'List Ticket'!B656</f>
      </c>
      <c r="C656" s="27">
        <f>IF('List Ticket'!C755=1, 1, 0)</f>
      </c>
      <c r="D656" s="26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8">
        <f>SUM(C656:Z656)</f>
      </c>
    </row>
    <row r="657">
      <c r="A657" s="27">
        <f>'List Ticket'!A657</f>
      </c>
      <c r="B657" s="27">
        <f>'List Ticket'!B657</f>
      </c>
      <c r="C657" s="27">
        <f>IF('List Ticket'!C756=1, 1, 0)</f>
      </c>
      <c r="D657" s="26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8">
        <f>SUM(C657:Z657)</f>
      </c>
    </row>
    <row r="658">
      <c r="A658" s="27">
        <f>'List Ticket'!A658</f>
      </c>
      <c r="B658" s="27">
        <f>'List Ticket'!B658</f>
      </c>
      <c r="C658" s="27">
        <f>IF('List Ticket'!C757=1, 1, 0)</f>
      </c>
      <c r="D658" s="26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8">
        <f>SUM(C658:Z658)</f>
      </c>
    </row>
    <row r="659">
      <c r="A659" s="27">
        <f>'List Ticket'!A659</f>
      </c>
      <c r="B659" s="27">
        <f>'List Ticket'!B659</f>
      </c>
      <c r="C659" s="27">
        <f>IF('List Ticket'!C758=1, 1, 0)</f>
      </c>
      <c r="D659" s="26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8">
        <f>SUM(C659:Z659)</f>
      </c>
    </row>
    <row r="660">
      <c r="A660" s="27">
        <f>'List Ticket'!A660</f>
      </c>
      <c r="B660" s="27">
        <f>'List Ticket'!B660</f>
      </c>
      <c r="C660" s="27">
        <f>IF('List Ticket'!C759=1, 1, 0)</f>
      </c>
      <c r="D660" s="26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8">
        <f>SUM(C660:Z660)</f>
      </c>
    </row>
    <row r="661">
      <c r="A661" s="27">
        <f>'List Ticket'!A661</f>
      </c>
      <c r="B661" s="27">
        <f>'List Ticket'!B661</f>
      </c>
      <c r="C661" s="27">
        <f>IF('List Ticket'!C760=1, 1, 0)</f>
      </c>
      <c r="D661" s="26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8">
        <f>SUM(C661:Z661)</f>
      </c>
    </row>
    <row r="662">
      <c r="A662" s="27">
        <f>'List Ticket'!A662</f>
      </c>
      <c r="B662" s="27">
        <f>'List Ticket'!B662</f>
      </c>
      <c r="C662" s="27">
        <f>IF('List Ticket'!C761=1, 1, 0)</f>
      </c>
      <c r="D662" s="26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8">
        <f>SUM(C662:Z662)</f>
      </c>
    </row>
    <row r="663">
      <c r="A663" s="27">
        <f>'List Ticket'!A663</f>
      </c>
      <c r="B663" s="27">
        <f>'List Ticket'!B663</f>
      </c>
      <c r="C663" s="27">
        <f>IF('List Ticket'!C762=1, 1, 0)</f>
      </c>
      <c r="D663" s="26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8">
        <f>SUM(C663:Z663)</f>
      </c>
    </row>
    <row r="664">
      <c r="A664" s="27">
        <f>'List Ticket'!A664</f>
      </c>
      <c r="B664" s="27">
        <f>'List Ticket'!B664</f>
      </c>
      <c r="C664" s="27">
        <f>IF('List Ticket'!C763=1, 1, 0)</f>
      </c>
      <c r="D664" s="26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8">
        <f>SUM(C664:Z664)</f>
      </c>
    </row>
    <row r="665">
      <c r="A665" s="27">
        <f>'List Ticket'!A665</f>
      </c>
      <c r="B665" s="27">
        <f>'List Ticket'!B665</f>
      </c>
      <c r="C665" s="27">
        <f>IF('List Ticket'!C764=1, 1, 0)</f>
      </c>
      <c r="D665" s="26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8">
        <f>SUM(C665:Z665)</f>
      </c>
    </row>
    <row r="666">
      <c r="A666" s="27">
        <f>'List Ticket'!A666</f>
      </c>
      <c r="B666" s="27">
        <f>'List Ticket'!B666</f>
      </c>
      <c r="C666" s="27">
        <f>IF('List Ticket'!C765=1, 1, 0)</f>
      </c>
      <c r="D666" s="26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8">
        <f>SUM(C666:Z666)</f>
      </c>
    </row>
    <row r="667">
      <c r="A667" s="27">
        <f>'List Ticket'!A667</f>
      </c>
      <c r="B667" s="27">
        <f>'List Ticket'!B667</f>
      </c>
      <c r="C667" s="27">
        <f>IF('List Ticket'!C766=1, 1, 0)</f>
      </c>
      <c r="D667" s="26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8">
        <f>SUM(C667:Z667)</f>
      </c>
    </row>
    <row r="668">
      <c r="A668" s="27">
        <f>'List Ticket'!A668</f>
      </c>
      <c r="B668" s="27">
        <f>'List Ticket'!B668</f>
      </c>
      <c r="C668" s="27">
        <f>IF('List Ticket'!C767=1, 1, 0)</f>
      </c>
      <c r="D668" s="26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8">
        <f>SUM(C668:Z668)</f>
      </c>
    </row>
    <row r="669">
      <c r="A669" s="27">
        <f>'List Ticket'!A669</f>
      </c>
      <c r="B669" s="27">
        <f>'List Ticket'!B669</f>
      </c>
      <c r="C669" s="27">
        <f>IF('List Ticket'!C768=1, 1, 0)</f>
      </c>
      <c r="D669" s="26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8">
        <f>SUM(C669:Z669)</f>
      </c>
    </row>
    <row r="670">
      <c r="A670" s="27">
        <f>'List Ticket'!A670</f>
      </c>
      <c r="B670" s="27">
        <f>'List Ticket'!B670</f>
      </c>
      <c r="C670" s="27">
        <f>IF('List Ticket'!C769=1, 1, 0)</f>
      </c>
      <c r="D670" s="26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8">
        <f>SUM(C670:Z670)</f>
      </c>
    </row>
    <row r="671">
      <c r="A671" s="27">
        <f>'List Ticket'!A671</f>
      </c>
      <c r="B671" s="27">
        <f>'List Ticket'!B671</f>
      </c>
      <c r="C671" s="27">
        <f>IF('List Ticket'!C770=1, 1, 0)</f>
      </c>
      <c r="D671" s="26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8">
        <f>SUM(C671:Z671)</f>
      </c>
    </row>
    <row r="672">
      <c r="A672" s="27">
        <f>'List Ticket'!A672</f>
      </c>
      <c r="B672" s="27">
        <f>'List Ticket'!B672</f>
      </c>
      <c r="C672" s="27">
        <f>IF('List Ticket'!C771=1, 1, 0)</f>
      </c>
      <c r="D672" s="26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8">
        <f>SUM(C672:Z672)</f>
      </c>
    </row>
    <row r="673">
      <c r="A673" s="27">
        <f>'List Ticket'!A673</f>
      </c>
      <c r="B673" s="27">
        <f>'List Ticket'!B673</f>
      </c>
      <c r="C673" s="27">
        <f>IF('List Ticket'!C772=1, 1, 0)</f>
      </c>
      <c r="D673" s="26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8">
        <f>SUM(C673:Z673)</f>
      </c>
    </row>
    <row r="674">
      <c r="A674" s="27">
        <f>'List Ticket'!A674</f>
      </c>
      <c r="B674" s="27">
        <f>'List Ticket'!B674</f>
      </c>
      <c r="C674" s="27">
        <f>IF('List Ticket'!C773=1, 1, 0)</f>
      </c>
      <c r="D674" s="26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8">
        <f>SUM(C674:Z674)</f>
      </c>
    </row>
    <row r="675">
      <c r="A675" s="27">
        <f>'List Ticket'!A675</f>
      </c>
      <c r="B675" s="27">
        <f>'List Ticket'!B675</f>
      </c>
      <c r="C675" s="27">
        <f>IF('List Ticket'!C774=1, 1, 0)</f>
      </c>
      <c r="D675" s="26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8">
        <f>SUM(C675:Z675)</f>
      </c>
    </row>
    <row r="676">
      <c r="A676" s="27">
        <f>'List Ticket'!A676</f>
      </c>
      <c r="B676" s="27">
        <f>'List Ticket'!B676</f>
      </c>
      <c r="C676" s="27">
        <f>IF('List Ticket'!C775=1, 1, 0)</f>
      </c>
      <c r="D676" s="26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8">
        <f>SUM(C676:Z676)</f>
      </c>
    </row>
    <row r="677">
      <c r="A677" s="27">
        <f>'List Ticket'!A677</f>
      </c>
      <c r="B677" s="27">
        <f>'List Ticket'!B677</f>
      </c>
      <c r="C677" s="27">
        <f>IF('List Ticket'!C776=1, 1, 0)</f>
      </c>
      <c r="D677" s="26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8">
        <f>SUM(C677:Z677)</f>
      </c>
    </row>
    <row r="678">
      <c r="A678" s="27">
        <f>'List Ticket'!A678</f>
      </c>
      <c r="B678" s="27">
        <f>'List Ticket'!B678</f>
      </c>
      <c r="C678" s="27">
        <f>IF('List Ticket'!C777=1, 1, 0)</f>
      </c>
      <c r="D678" s="26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8">
        <f>SUM(C678:Z678)</f>
      </c>
    </row>
    <row r="679">
      <c r="A679" s="27">
        <f>'List Ticket'!A679</f>
      </c>
      <c r="B679" s="27">
        <f>'List Ticket'!B679</f>
      </c>
      <c r="C679" s="27">
        <f>IF('List Ticket'!C778=1, 1, 0)</f>
      </c>
      <c r="D679" s="26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8">
        <f>SUM(C679:Z679)</f>
      </c>
    </row>
    <row r="680">
      <c r="A680" s="27">
        <f>'List Ticket'!A680</f>
      </c>
      <c r="B680" s="27">
        <f>'List Ticket'!B680</f>
      </c>
      <c r="C680" s="27">
        <f>IF('List Ticket'!C779=1, 1, 0)</f>
      </c>
      <c r="D680" s="26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8">
        <f>SUM(C680:Z680)</f>
      </c>
    </row>
    <row r="681">
      <c r="A681" s="27">
        <f>'List Ticket'!A681</f>
      </c>
      <c r="B681" s="27">
        <f>'List Ticket'!B681</f>
      </c>
      <c r="C681" s="27">
        <f>IF('List Ticket'!C780=1, 1, 0)</f>
      </c>
      <c r="D681" s="26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8">
        <f>SUM(C681:Z681)</f>
      </c>
    </row>
    <row r="682">
      <c r="A682" s="27">
        <f>'List Ticket'!A682</f>
      </c>
      <c r="B682" s="27">
        <f>'List Ticket'!B682</f>
      </c>
      <c r="C682" s="27">
        <f>IF('List Ticket'!C781=1, 1, 0)</f>
      </c>
      <c r="D682" s="26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8">
        <f>SUM(C682:Z682)</f>
      </c>
    </row>
    <row r="683">
      <c r="A683" s="27">
        <f>'List Ticket'!A683</f>
      </c>
      <c r="B683" s="27">
        <f>'List Ticket'!B683</f>
      </c>
      <c r="C683" s="27">
        <f>IF('List Ticket'!C782=1, 1, 0)</f>
      </c>
      <c r="D683" s="26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8">
        <f>SUM(C683:Z683)</f>
      </c>
    </row>
    <row r="684">
      <c r="A684" s="27">
        <f>'List Ticket'!A684</f>
      </c>
      <c r="B684" s="27">
        <f>'List Ticket'!B684</f>
      </c>
      <c r="C684" s="27">
        <f>IF('List Ticket'!C783=1, 1, 0)</f>
      </c>
      <c r="D684" s="26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8">
        <f>SUM(C684:Z684)</f>
      </c>
    </row>
    <row r="685">
      <c r="A685" s="27">
        <f>'List Ticket'!A685</f>
      </c>
      <c r="B685" s="27">
        <f>'List Ticket'!B685</f>
      </c>
      <c r="C685" s="27">
        <f>IF('List Ticket'!C784=1, 1, 0)</f>
      </c>
      <c r="D685" s="26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8">
        <f>SUM(C685:Z685)</f>
      </c>
    </row>
    <row r="686">
      <c r="A686" s="27">
        <f>'List Ticket'!A686</f>
      </c>
      <c r="B686" s="27">
        <f>'List Ticket'!B686</f>
      </c>
      <c r="C686" s="27">
        <f>IF('List Ticket'!C785=1, 1, 0)</f>
      </c>
      <c r="D686" s="26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8">
        <f>SUM(C686:Z686)</f>
      </c>
    </row>
    <row r="687">
      <c r="A687" s="27">
        <f>'List Ticket'!A687</f>
      </c>
      <c r="B687" s="27">
        <f>'List Ticket'!B687</f>
      </c>
      <c r="C687" s="27">
        <f>IF('List Ticket'!C786=1, 1, 0)</f>
      </c>
      <c r="D687" s="26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8">
        <f>SUM(C687:Z687)</f>
      </c>
    </row>
    <row r="688">
      <c r="A688" s="27">
        <f>'List Ticket'!A688</f>
      </c>
      <c r="B688" s="27">
        <f>'List Ticket'!B688</f>
      </c>
      <c r="C688" s="27">
        <f>IF('List Ticket'!C787=1, 1, 0)</f>
      </c>
      <c r="D688" s="26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8">
        <f>SUM(C688:Z688)</f>
      </c>
    </row>
    <row r="689">
      <c r="A689" s="27">
        <f>'List Ticket'!A689</f>
      </c>
      <c r="B689" s="27">
        <f>'List Ticket'!B689</f>
      </c>
      <c r="C689" s="27">
        <f>IF('List Ticket'!C788=1, 1, 0)</f>
      </c>
      <c r="D689" s="26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8">
        <f>SUM(C689:Z689)</f>
      </c>
    </row>
    <row r="690">
      <c r="A690" s="27">
        <f>'List Ticket'!A690</f>
      </c>
      <c r="B690" s="27">
        <f>'List Ticket'!B690</f>
      </c>
      <c r="C690" s="27">
        <f>IF('List Ticket'!C789=1, 1, 0)</f>
      </c>
      <c r="D690" s="26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8">
        <f>SUM(C690:Z690)</f>
      </c>
    </row>
    <row r="691">
      <c r="A691" s="27">
        <f>'List Ticket'!A691</f>
      </c>
      <c r="B691" s="27">
        <f>'List Ticket'!B691</f>
      </c>
      <c r="C691" s="27">
        <f>IF('List Ticket'!C790=1, 1, 0)</f>
      </c>
      <c r="D691" s="26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8">
        <f>SUM(C691:Z691)</f>
      </c>
    </row>
    <row r="692">
      <c r="A692" s="27">
        <f>'List Ticket'!A692</f>
      </c>
      <c r="B692" s="27">
        <f>'List Ticket'!B692</f>
      </c>
      <c r="C692" s="27">
        <f>IF('List Ticket'!C791=1, 1, 0)</f>
      </c>
      <c r="D692" s="26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8">
        <f>SUM(C692:Z692)</f>
      </c>
    </row>
    <row r="693">
      <c r="A693" s="27">
        <f>'List Ticket'!A693</f>
      </c>
      <c r="B693" s="27">
        <f>'List Ticket'!B693</f>
      </c>
      <c r="C693" s="27">
        <f>IF('List Ticket'!C792=1, 1, 0)</f>
      </c>
      <c r="D693" s="26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8">
        <f>SUM(C693:Z693)</f>
      </c>
    </row>
    <row r="694">
      <c r="A694" s="27">
        <f>'List Ticket'!A694</f>
      </c>
      <c r="B694" s="27">
        <f>'List Ticket'!B694</f>
      </c>
      <c r="C694" s="27">
        <f>IF('List Ticket'!C793=1, 1, 0)</f>
      </c>
      <c r="D694" s="26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8">
        <f>SUM(C694:Z694)</f>
      </c>
    </row>
    <row r="695">
      <c r="A695" s="27">
        <f>'List Ticket'!A695</f>
      </c>
      <c r="B695" s="27">
        <f>'List Ticket'!B695</f>
      </c>
      <c r="C695" s="27">
        <f>IF('List Ticket'!C794=1, 1, 0)</f>
      </c>
      <c r="D695" s="26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8">
        <f>SUM(C695:Z695)</f>
      </c>
    </row>
    <row r="696">
      <c r="A696" s="27">
        <f>'List Ticket'!A696</f>
      </c>
      <c r="B696" s="27">
        <f>'List Ticket'!B696</f>
      </c>
      <c r="C696" s="27">
        <f>IF('List Ticket'!C795=1, 1, 0)</f>
      </c>
      <c r="D696" s="26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8">
        <f>SUM(C696:Z696)</f>
      </c>
    </row>
    <row r="697">
      <c r="A697" s="27">
        <f>'List Ticket'!A697</f>
      </c>
      <c r="B697" s="27">
        <f>'List Ticket'!B697</f>
      </c>
      <c r="C697" s="27">
        <f>IF('List Ticket'!C796=1, 1, 0)</f>
      </c>
      <c r="D697" s="26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8">
        <f>SUM(C697:Z697)</f>
      </c>
    </row>
    <row r="698">
      <c r="A698" s="27">
        <f>'List Ticket'!A698</f>
      </c>
      <c r="B698" s="27">
        <f>'List Ticket'!B698</f>
      </c>
      <c r="C698" s="27">
        <f>IF('List Ticket'!C797=1, 1, 0)</f>
      </c>
      <c r="D698" s="26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8">
        <f>SUM(C698:Z698)</f>
      </c>
    </row>
    <row r="699">
      <c r="A699" s="27">
        <f>'List Ticket'!A699</f>
      </c>
      <c r="B699" s="27">
        <f>'List Ticket'!B699</f>
      </c>
      <c r="C699" s="27">
        <f>IF('List Ticket'!C798=1, 1, 0)</f>
      </c>
      <c r="D699" s="26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8">
        <f>SUM(C699:Z699)</f>
      </c>
    </row>
    <row r="700">
      <c r="A700" s="27">
        <f>'List Ticket'!A700</f>
      </c>
      <c r="B700" s="27">
        <f>'List Ticket'!B700</f>
      </c>
      <c r="C700" s="27">
        <f>IF('List Ticket'!C799=1, 1, 0)</f>
      </c>
      <c r="D700" s="26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8">
        <f>SUM(C700:Z700)</f>
      </c>
    </row>
    <row r="701">
      <c r="A701" s="27">
        <f>'List Ticket'!A701</f>
      </c>
      <c r="B701" s="27">
        <f>'List Ticket'!B701</f>
      </c>
      <c r="C701" s="27">
        <f>IF('List Ticket'!C800=1, 1, 0)</f>
      </c>
      <c r="D701" s="26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8">
        <f>SUM(C701:Z701)</f>
      </c>
    </row>
    <row r="702">
      <c r="A702" s="27">
        <f>'List Ticket'!A702</f>
      </c>
      <c r="B702" s="27">
        <f>'List Ticket'!B702</f>
      </c>
      <c r="C702" s="27">
        <f>IF('List Ticket'!C801=1, 1, 0)</f>
      </c>
      <c r="D702" s="26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8">
        <f>SUM(C702:Z702)</f>
      </c>
    </row>
    <row r="703">
      <c r="A703" s="27">
        <f>'List Ticket'!A703</f>
      </c>
      <c r="B703" s="27">
        <f>'List Ticket'!B703</f>
      </c>
      <c r="C703" s="27">
        <f>IF('List Ticket'!C802=1, 1, 0)</f>
      </c>
      <c r="D703" s="26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8">
        <f>SUM(C703:Z703)</f>
      </c>
    </row>
    <row r="704">
      <c r="A704" s="27">
        <f>'List Ticket'!A704</f>
      </c>
      <c r="B704" s="27">
        <f>'List Ticket'!B704</f>
      </c>
      <c r="C704" s="27">
        <f>IF('List Ticket'!C803=1, 1, 0)</f>
      </c>
      <c r="D704" s="26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8">
        <f>SUM(C704:Z704)</f>
      </c>
    </row>
    <row r="705">
      <c r="A705" s="27">
        <f>'List Ticket'!A705</f>
      </c>
      <c r="B705" s="27">
        <f>'List Ticket'!B705</f>
      </c>
      <c r="C705" s="27">
        <f>IF('List Ticket'!C804=1, 1, 0)</f>
      </c>
      <c r="D705" s="26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8">
        <f>SUM(C705:Z705)</f>
      </c>
    </row>
    <row r="706">
      <c r="A706" s="27">
        <f>'List Ticket'!A706</f>
      </c>
      <c r="B706" s="27">
        <f>'List Ticket'!B706</f>
      </c>
      <c r="C706" s="27">
        <f>IF('List Ticket'!C805=1, 1, 0)</f>
      </c>
      <c r="D706" s="26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8">
        <f>SUM(C706:Z706)</f>
      </c>
    </row>
    <row r="707">
      <c r="A707" s="27">
        <f>'List Ticket'!A707</f>
      </c>
      <c r="B707" s="27">
        <f>'List Ticket'!B707</f>
      </c>
      <c r="C707" s="27">
        <f>IF('List Ticket'!C806=1, 1, 0)</f>
      </c>
      <c r="D707" s="26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8">
        <f>SUM(C707:Z707)</f>
      </c>
    </row>
    <row r="708">
      <c r="A708" s="27">
        <f>'List Ticket'!A708</f>
      </c>
      <c r="B708" s="27">
        <f>'List Ticket'!B708</f>
      </c>
      <c r="C708" s="27">
        <f>IF('List Ticket'!C807=1, 1, 0)</f>
      </c>
      <c r="D708" s="26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8">
        <f>SUM(C708:Z708)</f>
      </c>
    </row>
    <row r="709">
      <c r="A709" s="27">
        <f>'List Ticket'!A709</f>
      </c>
      <c r="B709" s="27">
        <f>'List Ticket'!B709</f>
      </c>
      <c r="C709" s="27">
        <f>IF('List Ticket'!C808=1, 1, 0)</f>
      </c>
      <c r="D709" s="26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8">
        <f>SUM(C709:Z709)</f>
      </c>
    </row>
    <row r="710">
      <c r="A710" s="27">
        <f>'List Ticket'!A710</f>
      </c>
      <c r="B710" s="27">
        <f>'List Ticket'!B710</f>
      </c>
      <c r="C710" s="27">
        <f>IF('List Ticket'!C809=1, 1, 0)</f>
      </c>
      <c r="D710" s="26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8">
        <f>SUM(C710:Z710)</f>
      </c>
    </row>
    <row r="711">
      <c r="A711" s="27">
        <f>'List Ticket'!A711</f>
      </c>
      <c r="B711" s="27">
        <f>'List Ticket'!B711</f>
      </c>
      <c r="C711" s="27">
        <f>IF('List Ticket'!C810=1, 1, 0)</f>
      </c>
      <c r="D711" s="26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8">
        <f>SUM(C711:Z711)</f>
      </c>
    </row>
    <row r="712">
      <c r="A712" s="27">
        <f>'List Ticket'!A712</f>
      </c>
      <c r="B712" s="27">
        <f>'List Ticket'!B712</f>
      </c>
      <c r="C712" s="27">
        <f>IF('List Ticket'!C811=1, 1, 0)</f>
      </c>
      <c r="D712" s="26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8">
        <f>SUM(C712:Z712)</f>
      </c>
    </row>
    <row r="713">
      <c r="A713" s="27">
        <f>'List Ticket'!A713</f>
      </c>
      <c r="B713" s="27">
        <f>'List Ticket'!B713</f>
      </c>
      <c r="C713" s="27">
        <f>IF('List Ticket'!C812=1, 1, 0)</f>
      </c>
      <c r="D713" s="26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8">
        <f>SUM(C713:Z713)</f>
      </c>
    </row>
    <row r="714">
      <c r="A714" s="27">
        <f>'List Ticket'!A714</f>
      </c>
      <c r="B714" s="27">
        <f>'List Ticket'!B714</f>
      </c>
      <c r="C714" s="27">
        <f>IF('List Ticket'!C813=1, 1, 0)</f>
      </c>
      <c r="D714" s="26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8">
        <f>SUM(C714:Z714)</f>
      </c>
    </row>
    <row r="715">
      <c r="A715" s="27">
        <f>'List Ticket'!A715</f>
      </c>
      <c r="B715" s="27">
        <f>'List Ticket'!B715</f>
      </c>
      <c r="C715" s="27">
        <f>IF('List Ticket'!C814=1, 1, 0)</f>
      </c>
      <c r="D715" s="26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8">
        <f>SUM(C715:Z715)</f>
      </c>
    </row>
    <row r="716">
      <c r="A716" s="27">
        <f>'List Ticket'!A716</f>
      </c>
      <c r="B716" s="27">
        <f>'List Ticket'!B716</f>
      </c>
      <c r="C716" s="27">
        <f>IF('List Ticket'!C815=1, 1, 0)</f>
      </c>
      <c r="D716" s="26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8">
        <f>SUM(C716:Z716)</f>
      </c>
    </row>
    <row r="717">
      <c r="A717" s="27">
        <f>'List Ticket'!A717</f>
      </c>
      <c r="B717" s="27">
        <f>'List Ticket'!B717</f>
      </c>
      <c r="C717" s="27">
        <f>IF('List Ticket'!C816=1, 1, 0)</f>
      </c>
      <c r="D717" s="26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8">
        <f>SUM(C717:Z717)</f>
      </c>
    </row>
    <row r="718">
      <c r="A718" s="27">
        <f>'List Ticket'!A718</f>
      </c>
      <c r="B718" s="27">
        <f>'List Ticket'!B718</f>
      </c>
      <c r="C718" s="27">
        <f>IF('List Ticket'!C817=1, 1, 0)</f>
      </c>
      <c r="D718" s="26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8">
        <f>SUM(C718:Z718)</f>
      </c>
    </row>
    <row r="719">
      <c r="A719" s="27">
        <f>'List Ticket'!A719</f>
      </c>
      <c r="B719" s="27">
        <f>'List Ticket'!B719</f>
      </c>
      <c r="C719" s="27">
        <f>IF('List Ticket'!C818=1, 1, 0)</f>
      </c>
      <c r="D719" s="26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8">
        <f>SUM(C719:Z719)</f>
      </c>
    </row>
    <row r="720">
      <c r="A720" s="27">
        <f>'List Ticket'!A720</f>
      </c>
      <c r="B720" s="27">
        <f>'List Ticket'!B720</f>
      </c>
      <c r="C720" s="27">
        <f>IF('List Ticket'!C819=1, 1, 0)</f>
      </c>
      <c r="D720" s="26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8">
        <f>SUM(C720:Z720)</f>
      </c>
    </row>
    <row r="721">
      <c r="A721" s="27">
        <f>'List Ticket'!A721</f>
      </c>
      <c r="B721" s="27">
        <f>'List Ticket'!B721</f>
      </c>
      <c r="C721" s="27">
        <f>IF('List Ticket'!C820=1, 1, 0)</f>
      </c>
      <c r="D721" s="26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8">
        <f>SUM(C721:Z721)</f>
      </c>
    </row>
    <row r="722">
      <c r="A722" s="27">
        <f>'List Ticket'!A722</f>
      </c>
      <c r="B722" s="27">
        <f>'List Ticket'!B722</f>
      </c>
      <c r="C722" s="27">
        <f>IF('List Ticket'!C821=1, 1, 0)</f>
      </c>
      <c r="D722" s="26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8">
        <f>SUM(C722:Z722)</f>
      </c>
    </row>
    <row r="723">
      <c r="A723" s="27">
        <f>'List Ticket'!A723</f>
      </c>
      <c r="B723" s="27">
        <f>'List Ticket'!B723</f>
      </c>
      <c r="C723" s="27">
        <f>IF('List Ticket'!C822=1, 1, 0)</f>
      </c>
      <c r="D723" s="26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8">
        <f>SUM(C723:Z723)</f>
      </c>
    </row>
    <row r="724">
      <c r="A724" s="27">
        <f>'List Ticket'!A724</f>
      </c>
      <c r="B724" s="27">
        <f>'List Ticket'!B724</f>
      </c>
      <c r="C724" s="27">
        <f>IF('List Ticket'!C823=1, 1, 0)</f>
      </c>
      <c r="D724" s="26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8">
        <f>SUM(C724:Z724)</f>
      </c>
    </row>
    <row r="725">
      <c r="A725" s="27">
        <f>'List Ticket'!A725</f>
      </c>
      <c r="B725" s="27">
        <f>'List Ticket'!B725</f>
      </c>
      <c r="C725" s="27">
        <f>IF('List Ticket'!C824=1, 1, 0)</f>
      </c>
      <c r="D725" s="26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8">
        <f>SUM(C725:Z725)</f>
      </c>
    </row>
    <row r="726">
      <c r="A726" s="27">
        <f>'List Ticket'!A726</f>
      </c>
      <c r="B726" s="27">
        <f>'List Ticket'!B726</f>
      </c>
      <c r="C726" s="27">
        <f>IF('List Ticket'!C825=1, 1, 0)</f>
      </c>
      <c r="D726" s="26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8">
        <f>SUM(C726:Z726)</f>
      </c>
    </row>
    <row r="727">
      <c r="A727" s="27">
        <f>'List Ticket'!A727</f>
      </c>
      <c r="B727" s="27">
        <f>'List Ticket'!B727</f>
      </c>
      <c r="C727" s="27">
        <f>IF('List Ticket'!C826=1, 1, 0)</f>
      </c>
      <c r="D727" s="26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8">
        <f>SUM(C727:Z727)</f>
      </c>
    </row>
    <row r="728">
      <c r="A728" s="27">
        <f>'List Ticket'!A728</f>
      </c>
      <c r="B728" s="27">
        <f>'List Ticket'!B728</f>
      </c>
      <c r="C728" s="27">
        <f>IF('List Ticket'!C827=1, 1, 0)</f>
      </c>
      <c r="D728" s="26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8">
        <f>SUM(C728:Z728)</f>
      </c>
    </row>
    <row r="729">
      <c r="A729" s="27">
        <f>'List Ticket'!A729</f>
      </c>
      <c r="B729" s="27">
        <f>'List Ticket'!B729</f>
      </c>
      <c r="C729" s="27">
        <f>IF('List Ticket'!C828=1, 1, 0)</f>
      </c>
      <c r="D729" s="26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8">
        <f>SUM(C729:Z729)</f>
      </c>
    </row>
    <row r="730">
      <c r="A730" s="27">
        <f>'List Ticket'!A730</f>
      </c>
      <c r="B730" s="27">
        <f>'List Ticket'!B730</f>
      </c>
      <c r="C730" s="27">
        <f>IF('List Ticket'!C829=1, 1, 0)</f>
      </c>
      <c r="D730" s="26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8">
        <f>SUM(C730:Z730)</f>
      </c>
    </row>
    <row r="731">
      <c r="A731" s="27">
        <f>'List Ticket'!A731</f>
      </c>
      <c r="B731" s="27">
        <f>'List Ticket'!B731</f>
      </c>
      <c r="C731" s="27">
        <f>IF('List Ticket'!C830=1, 1, 0)</f>
      </c>
      <c r="D731" s="26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8">
        <f>SUM(C731:Z731)</f>
      </c>
    </row>
    <row r="732">
      <c r="A732" s="27">
        <f>'List Ticket'!A732</f>
      </c>
      <c r="B732" s="27">
        <f>'List Ticket'!B732</f>
      </c>
      <c r="C732" s="27">
        <f>IF('List Ticket'!C831=1, 1, 0)</f>
      </c>
      <c r="D732" s="26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8">
        <f>SUM(C732:Z732)</f>
      </c>
    </row>
    <row r="733">
      <c r="A733" s="27">
        <f>'List Ticket'!A733</f>
      </c>
      <c r="B733" s="27">
        <f>'List Ticket'!B733</f>
      </c>
      <c r="C733" s="27">
        <f>IF('List Ticket'!C832=1, 1, 0)</f>
      </c>
      <c r="D733" s="26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8">
        <f>SUM(C733:Z733)</f>
      </c>
    </row>
    <row r="734">
      <c r="A734" s="27">
        <f>'List Ticket'!A734</f>
      </c>
      <c r="B734" s="27">
        <f>'List Ticket'!B734</f>
      </c>
      <c r="C734" s="27">
        <f>IF('List Ticket'!C833=1, 1, 0)</f>
      </c>
      <c r="D734" s="26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8">
        <f>SUM(C734:Z734)</f>
      </c>
    </row>
    <row r="735">
      <c r="A735" s="27">
        <f>'List Ticket'!A735</f>
      </c>
      <c r="B735" s="27">
        <f>'List Ticket'!B735</f>
      </c>
      <c r="C735" s="27">
        <f>IF('List Ticket'!C834=1, 1, 0)</f>
      </c>
      <c r="D735" s="26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8">
        <f>SUM(C735:Z735)</f>
      </c>
    </row>
    <row r="736">
      <c r="A736" s="27">
        <f>'List Ticket'!A736</f>
      </c>
      <c r="B736" s="27">
        <f>'List Ticket'!B736</f>
      </c>
      <c r="C736" s="27">
        <f>IF('List Ticket'!C835=1, 1, 0)</f>
      </c>
      <c r="D736" s="26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8">
        <f>SUM(C736:Z736)</f>
      </c>
    </row>
    <row r="737">
      <c r="A737" s="27">
        <f>'List Ticket'!A737</f>
      </c>
      <c r="B737" s="27">
        <f>'List Ticket'!B737</f>
      </c>
      <c r="C737" s="27">
        <f>IF('List Ticket'!C836=1, 1, 0)</f>
      </c>
      <c r="D737" s="26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8">
        <f>SUM(C737:Z737)</f>
      </c>
    </row>
    <row r="738">
      <c r="A738" s="27">
        <f>'List Ticket'!A738</f>
      </c>
      <c r="B738" s="27">
        <f>'List Ticket'!B738</f>
      </c>
      <c r="C738" s="27">
        <f>IF('List Ticket'!C837=1, 1, 0)</f>
      </c>
      <c r="D738" s="26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8">
        <f>SUM(C738:Z738)</f>
      </c>
    </row>
    <row r="739">
      <c r="A739" s="27">
        <f>'List Ticket'!A739</f>
      </c>
      <c r="B739" s="27">
        <f>'List Ticket'!B739</f>
      </c>
      <c r="C739" s="27">
        <f>IF('List Ticket'!C838=1, 1, 0)</f>
      </c>
      <c r="D739" s="26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8">
        <f>SUM(C739:Z739)</f>
      </c>
    </row>
    <row r="740">
      <c r="A740" s="27">
        <f>'List Ticket'!A740</f>
      </c>
      <c r="B740" s="27">
        <f>'List Ticket'!B740</f>
      </c>
      <c r="C740" s="27">
        <f>IF('List Ticket'!C839=1, 1, 0)</f>
      </c>
      <c r="D740" s="26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8">
        <f>SUM(C740:Z740)</f>
      </c>
    </row>
    <row r="741">
      <c r="A741" s="27">
        <f>'List Ticket'!A741</f>
      </c>
      <c r="B741" s="27">
        <f>'List Ticket'!B741</f>
      </c>
      <c r="C741" s="27">
        <f>IF('List Ticket'!C840=1, 1, 0)</f>
      </c>
      <c r="D741" s="26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8">
        <f>SUM(C741:Z741)</f>
      </c>
    </row>
    <row r="742">
      <c r="A742" s="27">
        <f>'List Ticket'!A742</f>
      </c>
      <c r="B742" s="27">
        <f>'List Ticket'!B742</f>
      </c>
      <c r="C742" s="27">
        <f>IF('List Ticket'!C841=1, 1, 0)</f>
      </c>
      <c r="D742" s="26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8">
        <f>SUM(C742:Z742)</f>
      </c>
    </row>
    <row r="743">
      <c r="A743" s="27">
        <f>'List Ticket'!A743</f>
      </c>
      <c r="B743" s="27">
        <f>'List Ticket'!B743</f>
      </c>
      <c r="C743" s="27">
        <f>IF('List Ticket'!C842=1, 1, 0)</f>
      </c>
      <c r="D743" s="26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8">
        <f>SUM(C743:Z743)</f>
      </c>
    </row>
    <row r="744">
      <c r="A744" s="27">
        <f>'List Ticket'!A744</f>
      </c>
      <c r="B744" s="27">
        <f>'List Ticket'!B744</f>
      </c>
      <c r="C744" s="27">
        <f>IF('List Ticket'!C843=1, 1, 0)</f>
      </c>
      <c r="D744" s="26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8">
        <f>SUM(C744:Z744)</f>
      </c>
    </row>
    <row r="745">
      <c r="A745" s="27">
        <f>'List Ticket'!A745</f>
      </c>
      <c r="B745" s="27">
        <f>'List Ticket'!B745</f>
      </c>
      <c r="C745" s="27">
        <f>IF('List Ticket'!C844=1, 1, 0)</f>
      </c>
      <c r="D745" s="26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8">
        <f>SUM(C745:Z745)</f>
      </c>
    </row>
    <row r="746">
      <c r="A746" s="27">
        <f>'List Ticket'!A746</f>
      </c>
      <c r="B746" s="27">
        <f>'List Ticket'!B746</f>
      </c>
      <c r="C746" s="27">
        <f>IF('List Ticket'!C845=1, 1, 0)</f>
      </c>
      <c r="D746" s="26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8">
        <f>SUM(C746:Z746)</f>
      </c>
    </row>
    <row r="747">
      <c r="A747" s="27">
        <f>'List Ticket'!A747</f>
      </c>
      <c r="B747" s="27">
        <f>'List Ticket'!B747</f>
      </c>
      <c r="C747" s="27">
        <f>IF('List Ticket'!C846=1, 1, 0)</f>
      </c>
      <c r="D747" s="26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8">
        <f>SUM(C747:Z747)</f>
      </c>
    </row>
    <row r="748">
      <c r="A748" s="27">
        <f>'List Ticket'!A748</f>
      </c>
      <c r="B748" s="27">
        <f>'List Ticket'!B748</f>
      </c>
      <c r="C748" s="27">
        <f>IF('List Ticket'!C847=1, 1, 0)</f>
      </c>
      <c r="D748" s="26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8">
        <f>SUM(C748:Z748)</f>
      </c>
    </row>
    <row r="749">
      <c r="A749" s="27">
        <f>'List Ticket'!A749</f>
      </c>
      <c r="B749" s="27">
        <f>'List Ticket'!B749</f>
      </c>
      <c r="C749" s="27">
        <f>IF('List Ticket'!C848=1, 1, 0)</f>
      </c>
      <c r="D749" s="26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8">
        <f>SUM(C749:Z749)</f>
      </c>
    </row>
    <row r="750">
      <c r="A750" s="27">
        <f>'List Ticket'!A750</f>
      </c>
      <c r="B750" s="27">
        <f>'List Ticket'!B750</f>
      </c>
      <c r="C750" s="27">
        <f>IF('List Ticket'!C849=1, 1, 0)</f>
      </c>
      <c r="D750" s="26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8">
        <f>SUM(C750:Z750)</f>
      </c>
    </row>
    <row r="751">
      <c r="A751" s="27">
        <f>'List Ticket'!A751</f>
      </c>
      <c r="B751" s="27">
        <f>'List Ticket'!B751</f>
      </c>
      <c r="C751" s="27">
        <f>IF('List Ticket'!C850=1, 1, 0)</f>
      </c>
      <c r="D751" s="26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8">
        <f>SUM(C751:Z751)</f>
      </c>
    </row>
    <row r="752">
      <c r="A752" s="27">
        <f>'List Ticket'!A752</f>
      </c>
      <c r="B752" s="27">
        <f>'List Ticket'!B752</f>
      </c>
      <c r="C752" s="27">
        <f>IF('List Ticket'!C851=1, 1, 0)</f>
      </c>
      <c r="D752" s="26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8">
        <f>SUM(C752:Z752)</f>
      </c>
    </row>
    <row r="753">
      <c r="A753" s="27">
        <f>'List Ticket'!A753</f>
      </c>
      <c r="B753" s="27">
        <f>'List Ticket'!B753</f>
      </c>
      <c r="C753" s="27">
        <f>IF('List Ticket'!C852=1, 1, 0)</f>
      </c>
      <c r="D753" s="26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8">
        <f>SUM(C753:Z753)</f>
      </c>
    </row>
    <row r="754">
      <c r="A754" s="27">
        <f>'List Ticket'!A754</f>
      </c>
      <c r="B754" s="27">
        <f>'List Ticket'!B754</f>
      </c>
      <c r="C754" s="27">
        <f>IF('List Ticket'!C853=1, 1, 0)</f>
      </c>
      <c r="D754" s="26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8">
        <f>SUM(C754:Z754)</f>
      </c>
    </row>
    <row r="755">
      <c r="A755" s="27">
        <f>'List Ticket'!A755</f>
      </c>
      <c r="B755" s="27">
        <f>'List Ticket'!B755</f>
      </c>
      <c r="C755" s="27">
        <f>IF('List Ticket'!C854=1, 1, 0)</f>
      </c>
      <c r="D755" s="26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8">
        <f>SUM(C755:Z755)</f>
      </c>
    </row>
    <row r="756">
      <c r="A756" s="27">
        <f>'List Ticket'!A756</f>
      </c>
      <c r="B756" s="27">
        <f>'List Ticket'!B756</f>
      </c>
      <c r="C756" s="27">
        <f>IF('List Ticket'!C855=1, 1, 0)</f>
      </c>
      <c r="D756" s="26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8">
        <f>SUM(C756:Z756)</f>
      </c>
    </row>
    <row r="757">
      <c r="A757" s="27">
        <f>'List Ticket'!A757</f>
      </c>
      <c r="B757" s="27">
        <f>'List Ticket'!B757</f>
      </c>
      <c r="C757" s="27">
        <f>IF('List Ticket'!C856=1, 1, 0)</f>
      </c>
      <c r="D757" s="26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8">
        <f>SUM(C757:Z757)</f>
      </c>
    </row>
    <row r="758">
      <c r="A758" s="27">
        <f>'List Ticket'!A758</f>
      </c>
      <c r="B758" s="27">
        <f>'List Ticket'!B758</f>
      </c>
      <c r="C758" s="27">
        <f>IF('List Ticket'!C857=1, 1, 0)</f>
      </c>
      <c r="D758" s="26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8">
        <f>SUM(C758:Z758)</f>
      </c>
    </row>
    <row r="759">
      <c r="A759" s="27">
        <f>'List Ticket'!A759</f>
      </c>
      <c r="B759" s="27">
        <f>'List Ticket'!B759</f>
      </c>
      <c r="C759" s="27">
        <f>IF('List Ticket'!C858=1, 1, 0)</f>
      </c>
      <c r="D759" s="26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8">
        <f>SUM(C759:Z759)</f>
      </c>
    </row>
    <row r="760">
      <c r="A760" s="27">
        <f>'List Ticket'!A760</f>
      </c>
      <c r="B760" s="27">
        <f>'List Ticket'!B760</f>
      </c>
      <c r="C760" s="27">
        <f>IF('List Ticket'!C859=1, 1, 0)</f>
      </c>
      <c r="D760" s="26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8">
        <f>SUM(C760:Z760)</f>
      </c>
    </row>
    <row r="761">
      <c r="A761" s="27">
        <f>'List Ticket'!A761</f>
      </c>
      <c r="B761" s="27">
        <f>'List Ticket'!B761</f>
      </c>
      <c r="C761" s="27">
        <f>IF('List Ticket'!C860=1, 1, 0)</f>
      </c>
      <c r="D761" s="26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8">
        <f>SUM(C761:Z761)</f>
      </c>
    </row>
    <row r="762">
      <c r="A762" s="27">
        <f>'List Ticket'!A762</f>
      </c>
      <c r="B762" s="27">
        <f>'List Ticket'!B762</f>
      </c>
      <c r="C762" s="27">
        <f>IF('List Ticket'!C861=1, 1, 0)</f>
      </c>
      <c r="D762" s="26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8">
        <f>SUM(C762:Z762)</f>
      </c>
    </row>
    <row r="763">
      <c r="A763" s="27">
        <f>'List Ticket'!A763</f>
      </c>
      <c r="B763" s="27">
        <f>'List Ticket'!B763</f>
      </c>
      <c r="C763" s="27">
        <f>IF('List Ticket'!C862=1, 1, 0)</f>
      </c>
      <c r="D763" s="26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8">
        <f>SUM(C763:Z763)</f>
      </c>
    </row>
    <row r="764">
      <c r="A764" s="27">
        <f>'List Ticket'!A764</f>
      </c>
      <c r="B764" s="27">
        <f>'List Ticket'!B764</f>
      </c>
      <c r="C764" s="27">
        <f>IF('List Ticket'!C863=1, 1, 0)</f>
      </c>
      <c r="D764" s="26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8">
        <f>SUM(C764:Z764)</f>
      </c>
    </row>
    <row r="765">
      <c r="A765" s="27">
        <f>'List Ticket'!A765</f>
      </c>
      <c r="B765" s="27">
        <f>'List Ticket'!B765</f>
      </c>
      <c r="C765" s="27">
        <f>IF('List Ticket'!C864=1, 1, 0)</f>
      </c>
      <c r="D765" s="26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8">
        <f>SUM(C765:Z765)</f>
      </c>
    </row>
    <row r="766">
      <c r="A766" s="27">
        <f>'List Ticket'!A766</f>
      </c>
      <c r="B766" s="27">
        <f>'List Ticket'!B766</f>
      </c>
      <c r="C766" s="27">
        <f>IF('List Ticket'!C865=1, 1, 0)</f>
      </c>
      <c r="D766" s="26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8">
        <f>SUM(C766:Z766)</f>
      </c>
    </row>
    <row r="767">
      <c r="A767" s="27">
        <f>'List Ticket'!A767</f>
      </c>
      <c r="B767" s="27">
        <f>'List Ticket'!B767</f>
      </c>
      <c r="C767" s="27">
        <f>IF('List Ticket'!C866=1, 1, 0)</f>
      </c>
      <c r="D767" s="26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8">
        <f>SUM(C767:Z767)</f>
      </c>
    </row>
    <row r="768">
      <c r="A768" s="27">
        <f>'List Ticket'!A768</f>
      </c>
      <c r="B768" s="27">
        <f>'List Ticket'!B768</f>
      </c>
      <c r="C768" s="27">
        <f>IF('List Ticket'!C867=1, 1, 0)</f>
      </c>
      <c r="D768" s="26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8">
        <f>SUM(C768:Z768)</f>
      </c>
    </row>
    <row r="769">
      <c r="A769" s="27">
        <f>'List Ticket'!A769</f>
      </c>
      <c r="B769" s="27">
        <f>'List Ticket'!B769</f>
      </c>
      <c r="C769" s="27">
        <f>IF('List Ticket'!C868=1, 1, 0)</f>
      </c>
      <c r="D769" s="26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8">
        <f>SUM(C769:Z769)</f>
      </c>
    </row>
    <row r="770">
      <c r="A770" s="27">
        <f>'List Ticket'!A770</f>
      </c>
      <c r="B770" s="27">
        <f>'List Ticket'!B770</f>
      </c>
      <c r="C770" s="27">
        <f>IF('List Ticket'!C869=1, 1, 0)</f>
      </c>
      <c r="D770" s="26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8">
        <f>SUM(C770:Z770)</f>
      </c>
    </row>
    <row r="771">
      <c r="A771" s="27">
        <f>'List Ticket'!A771</f>
      </c>
      <c r="B771" s="27">
        <f>'List Ticket'!B771</f>
      </c>
      <c r="C771" s="27">
        <f>IF('List Ticket'!C870=1, 1, 0)</f>
      </c>
      <c r="D771" s="26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8">
        <f>SUM(C771:Z771)</f>
      </c>
    </row>
    <row r="772">
      <c r="A772" s="27">
        <f>'List Ticket'!A772</f>
      </c>
      <c r="B772" s="27">
        <f>'List Ticket'!B772</f>
      </c>
      <c r="C772" s="27">
        <f>IF('List Ticket'!C871=1, 1, 0)</f>
      </c>
      <c r="D772" s="26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8">
        <f>SUM(C772:Z772)</f>
      </c>
    </row>
    <row r="773">
      <c r="A773" s="27">
        <f>'List Ticket'!A773</f>
      </c>
      <c r="B773" s="27">
        <f>'List Ticket'!B773</f>
      </c>
      <c r="C773" s="27">
        <f>IF('List Ticket'!C872=1, 1, 0)</f>
      </c>
      <c r="D773" s="26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8">
        <f>SUM(C773:Z773)</f>
      </c>
    </row>
    <row r="774">
      <c r="A774" s="27">
        <f>'List Ticket'!A774</f>
      </c>
      <c r="B774" s="27">
        <f>'List Ticket'!B774</f>
      </c>
      <c r="C774" s="27">
        <f>IF('List Ticket'!C873=1, 1, 0)</f>
      </c>
      <c r="D774" s="26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8">
        <f>SUM(C774:Z774)</f>
      </c>
    </row>
    <row r="775">
      <c r="A775" s="27">
        <f>'List Ticket'!A775</f>
      </c>
      <c r="B775" s="27">
        <f>'List Ticket'!B775</f>
      </c>
      <c r="C775" s="27">
        <f>IF('List Ticket'!C874=1, 1, 0)</f>
      </c>
      <c r="D775" s="26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8">
        <f>SUM(C775:Z775)</f>
      </c>
    </row>
    <row r="776">
      <c r="A776" s="27">
        <f>'List Ticket'!A776</f>
      </c>
      <c r="B776" s="27">
        <f>'List Ticket'!B776</f>
      </c>
      <c r="C776" s="27">
        <f>IF('List Ticket'!C875=1, 1, 0)</f>
      </c>
      <c r="D776" s="26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8">
        <f>SUM(C776:Z776)</f>
      </c>
    </row>
    <row r="777">
      <c r="A777" s="27">
        <f>'List Ticket'!A777</f>
      </c>
      <c r="B777" s="27">
        <f>'List Ticket'!B777</f>
      </c>
      <c r="C777" s="27">
        <f>IF('List Ticket'!C876=1, 1, 0)</f>
      </c>
      <c r="D777" s="26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8">
        <f>SUM(C777:Z777)</f>
      </c>
    </row>
    <row r="778">
      <c r="A778" s="27">
        <f>'List Ticket'!A778</f>
      </c>
      <c r="B778" s="27">
        <f>'List Ticket'!B778</f>
      </c>
      <c r="C778" s="27">
        <f>IF('List Ticket'!C877=1, 1, 0)</f>
      </c>
      <c r="D778" s="26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8">
        <f>SUM(C778:Z778)</f>
      </c>
    </row>
    <row r="779">
      <c r="A779" s="27">
        <f>'List Ticket'!A779</f>
      </c>
      <c r="B779" s="27">
        <f>'List Ticket'!B779</f>
      </c>
      <c r="C779" s="27">
        <f>IF('List Ticket'!C878=1, 1, 0)</f>
      </c>
      <c r="D779" s="26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8">
        <f>SUM(C779:Z779)</f>
      </c>
    </row>
    <row r="780">
      <c r="A780" s="27">
        <f>'List Ticket'!A780</f>
      </c>
      <c r="B780" s="27">
        <f>'List Ticket'!B780</f>
      </c>
      <c r="C780" s="27">
        <f>IF('List Ticket'!C879=1, 1, 0)</f>
      </c>
      <c r="D780" s="26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8">
        <f>SUM(C780:Z780)</f>
      </c>
    </row>
    <row r="781">
      <c r="A781" s="27">
        <f>'List Ticket'!A781</f>
      </c>
      <c r="B781" s="27">
        <f>'List Ticket'!B781</f>
      </c>
      <c r="C781" s="27">
        <f>IF('List Ticket'!C880=1, 1, 0)</f>
      </c>
      <c r="D781" s="26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8">
        <f>SUM(C781:Z781)</f>
      </c>
    </row>
    <row r="782">
      <c r="A782" s="27">
        <f>'List Ticket'!A782</f>
      </c>
      <c r="B782" s="27">
        <f>'List Ticket'!B782</f>
      </c>
      <c r="C782" s="27">
        <f>IF('List Ticket'!C881=1, 1, 0)</f>
      </c>
      <c r="D782" s="26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8">
        <f>SUM(C782:Z782)</f>
      </c>
    </row>
    <row r="783">
      <c r="A783" s="27">
        <f>'List Ticket'!A783</f>
      </c>
      <c r="B783" s="27">
        <f>'List Ticket'!B783</f>
      </c>
      <c r="C783" s="27">
        <f>IF('List Ticket'!C882=1, 1, 0)</f>
      </c>
      <c r="D783" s="26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8">
        <f>SUM(C783:Z783)</f>
      </c>
    </row>
    <row r="784">
      <c r="A784" s="27">
        <f>'List Ticket'!A784</f>
      </c>
      <c r="B784" s="27">
        <f>'List Ticket'!B784</f>
      </c>
      <c r="C784" s="27">
        <f>IF('List Ticket'!C883=1, 1, 0)</f>
      </c>
      <c r="D784" s="26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8">
        <f>SUM(C784:Z784)</f>
      </c>
    </row>
    <row r="785">
      <c r="A785" s="27">
        <f>'List Ticket'!A785</f>
      </c>
      <c r="B785" s="27">
        <f>'List Ticket'!B785</f>
      </c>
      <c r="C785" s="27">
        <f>IF('List Ticket'!C884=1, 1, 0)</f>
      </c>
      <c r="D785" s="26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8">
        <f>SUM(C785:Z785)</f>
      </c>
    </row>
    <row r="786">
      <c r="A786" s="27">
        <f>'List Ticket'!A786</f>
      </c>
      <c r="B786" s="27">
        <f>'List Ticket'!B786</f>
      </c>
      <c r="C786" s="27">
        <f>IF('List Ticket'!C885=1, 1, 0)</f>
      </c>
      <c r="D786" s="26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8">
        <f>SUM(C786:Z786)</f>
      </c>
    </row>
    <row r="787">
      <c r="A787" s="27">
        <f>'List Ticket'!A787</f>
      </c>
      <c r="B787" s="27">
        <f>'List Ticket'!B787</f>
      </c>
      <c r="C787" s="27">
        <f>IF('List Ticket'!C886=1, 1, 0)</f>
      </c>
      <c r="D787" s="26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8">
        <f>SUM(C787:Z787)</f>
      </c>
    </row>
    <row r="788">
      <c r="A788" s="27">
        <f>'List Ticket'!A788</f>
      </c>
      <c r="B788" s="27">
        <f>'List Ticket'!B788</f>
      </c>
      <c r="C788" s="27">
        <f>IF('List Ticket'!C887=1, 1, 0)</f>
      </c>
      <c r="D788" s="26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8">
        <f>SUM(C788:Z788)</f>
      </c>
    </row>
    <row r="789">
      <c r="A789" s="27">
        <f>'List Ticket'!A789</f>
      </c>
      <c r="B789" s="27">
        <f>'List Ticket'!B789</f>
      </c>
      <c r="C789" s="27">
        <f>IF('List Ticket'!C888=1, 1, 0)</f>
      </c>
      <c r="D789" s="26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8">
        <f>SUM(C789:Z789)</f>
      </c>
    </row>
    <row r="790">
      <c r="A790" s="27">
        <f>'List Ticket'!A790</f>
      </c>
      <c r="B790" s="27">
        <f>'List Ticket'!B790</f>
      </c>
      <c r="C790" s="27">
        <f>IF('List Ticket'!C889=1, 1, 0)</f>
      </c>
      <c r="D790" s="26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8">
        <f>SUM(C790:Z790)</f>
      </c>
    </row>
    <row r="791">
      <c r="A791" s="27">
        <f>'List Ticket'!A791</f>
      </c>
      <c r="B791" s="27">
        <f>'List Ticket'!B791</f>
      </c>
      <c r="C791" s="27">
        <f>IF('List Ticket'!C890=1, 1, 0)</f>
      </c>
      <c r="D791" s="26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8">
        <f>SUM(C791:Z791)</f>
      </c>
    </row>
    <row r="792">
      <c r="A792" s="27">
        <f>'List Ticket'!A792</f>
      </c>
      <c r="B792" s="27">
        <f>'List Ticket'!B792</f>
      </c>
      <c r="C792" s="27">
        <f>IF('List Ticket'!C891=1, 1, 0)</f>
      </c>
      <c r="D792" s="26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8">
        <f>SUM(C792:Z792)</f>
      </c>
    </row>
    <row r="793">
      <c r="A793" s="27">
        <f>'List Ticket'!A793</f>
      </c>
      <c r="B793" s="27">
        <f>'List Ticket'!B793</f>
      </c>
      <c r="C793" s="27">
        <f>IF('List Ticket'!C892=1, 1, 0)</f>
      </c>
      <c r="D793" s="26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8">
        <f>SUM(C793:Z793)</f>
      </c>
    </row>
    <row r="794">
      <c r="A794" s="27">
        <f>'List Ticket'!A794</f>
      </c>
      <c r="B794" s="27">
        <f>'List Ticket'!B794</f>
      </c>
      <c r="C794" s="27">
        <f>IF('List Ticket'!C893=1, 1, 0)</f>
      </c>
      <c r="D794" s="26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8">
        <f>SUM(C794:Z794)</f>
      </c>
    </row>
    <row r="795">
      <c r="A795" s="27">
        <f>'List Ticket'!A795</f>
      </c>
      <c r="B795" s="27">
        <f>'List Ticket'!B795</f>
      </c>
      <c r="C795" s="27">
        <f>IF('List Ticket'!C894=1, 1, 0)</f>
      </c>
      <c r="D795" s="26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8">
        <f>SUM(C795:Z795)</f>
      </c>
    </row>
    <row r="796">
      <c r="A796" s="27">
        <f>'List Ticket'!A796</f>
      </c>
      <c r="B796" s="27">
        <f>'List Ticket'!B796</f>
      </c>
      <c r="C796" s="27">
        <f>IF('List Ticket'!C895=1, 1, 0)</f>
      </c>
      <c r="D796" s="26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8">
        <f>SUM(C796:Z796)</f>
      </c>
    </row>
    <row r="797">
      <c r="A797" s="27">
        <f>'List Ticket'!A797</f>
      </c>
      <c r="B797" s="27">
        <f>'List Ticket'!B797</f>
      </c>
      <c r="C797" s="27">
        <f>IF('List Ticket'!C896=1, 1, 0)</f>
      </c>
      <c r="D797" s="26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8">
        <f>SUM(C797:Z797)</f>
      </c>
    </row>
    <row r="798">
      <c r="A798" s="27">
        <f>'List Ticket'!A798</f>
      </c>
      <c r="B798" s="27">
        <f>'List Ticket'!B798</f>
      </c>
      <c r="C798" s="27">
        <f>IF('List Ticket'!C897=1, 1, 0)</f>
      </c>
      <c r="D798" s="26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8">
        <f>SUM(C798:Z798)</f>
      </c>
    </row>
    <row r="799">
      <c r="A799" s="27">
        <f>'List Ticket'!A799</f>
      </c>
      <c r="B799" s="27">
        <f>'List Ticket'!B799</f>
      </c>
      <c r="C799" s="27">
        <f>IF('List Ticket'!C898=1, 1, 0)</f>
      </c>
      <c r="D799" s="26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8">
        <f>SUM(C799:Z799)</f>
      </c>
    </row>
    <row r="800">
      <c r="A800" s="27">
        <f>'List Ticket'!A800</f>
      </c>
      <c r="B800" s="27">
        <f>'List Ticket'!B800</f>
      </c>
      <c r="C800" s="27">
        <f>IF('List Ticket'!C899=1, 1, 0)</f>
      </c>
      <c r="D800" s="26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8">
        <f>SUM(C800:Z800)</f>
      </c>
    </row>
    <row r="801">
      <c r="A801" s="27">
        <f>'List Ticket'!A801</f>
      </c>
      <c r="B801" s="27">
        <f>'List Ticket'!B801</f>
      </c>
      <c r="C801" s="27">
        <f>IF('List Ticket'!C900=1, 1, 0)</f>
      </c>
      <c r="D801" s="26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8">
        <f>SUM(C801:Z801)</f>
      </c>
    </row>
    <row r="802">
      <c r="A802" s="27">
        <f>'List Ticket'!A802</f>
      </c>
      <c r="B802" s="27">
        <f>'List Ticket'!B802</f>
      </c>
      <c r="C802" s="27">
        <f>IF('List Ticket'!C901=1, 1, 0)</f>
      </c>
      <c r="D802" s="26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8">
        <f>SUM(C802:Z802)</f>
      </c>
    </row>
    <row r="803">
      <c r="A803" s="27">
        <f>'List Ticket'!A803</f>
      </c>
      <c r="B803" s="27">
        <f>'List Ticket'!B803</f>
      </c>
      <c r="C803" s="27">
        <f>IF('List Ticket'!C902=1, 1, 0)</f>
      </c>
      <c r="D803" s="26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8">
        <f>SUM(C803:Z803)</f>
      </c>
    </row>
    <row r="804">
      <c r="A804" s="27">
        <f>'List Ticket'!A804</f>
      </c>
      <c r="B804" s="27">
        <f>'List Ticket'!B804</f>
      </c>
      <c r="C804" s="27">
        <f>IF('List Ticket'!C903=1, 1, 0)</f>
      </c>
      <c r="D804" s="26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8">
        <f>SUM(C804:Z804)</f>
      </c>
    </row>
    <row r="805">
      <c r="A805" s="27">
        <f>'List Ticket'!A805</f>
      </c>
      <c r="B805" s="27">
        <f>'List Ticket'!B805</f>
      </c>
      <c r="C805" s="27">
        <f>IF('List Ticket'!C904=1, 1, 0)</f>
      </c>
      <c r="D805" s="26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8">
        <f>SUM(C805:Z805)</f>
      </c>
    </row>
    <row r="806">
      <c r="A806" s="27">
        <f>'List Ticket'!A806</f>
      </c>
      <c r="B806" s="27">
        <f>'List Ticket'!B806</f>
      </c>
      <c r="C806" s="27">
        <f>IF('List Ticket'!C905=1, 1, 0)</f>
      </c>
      <c r="D806" s="26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8">
        <f>SUM(C806:Z806)</f>
      </c>
    </row>
    <row r="807">
      <c r="A807" s="27">
        <f>'List Ticket'!A807</f>
      </c>
      <c r="B807" s="27">
        <f>'List Ticket'!B807</f>
      </c>
      <c r="C807" s="27">
        <f>IF('List Ticket'!C906=1, 1, 0)</f>
      </c>
      <c r="D807" s="26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8">
        <f>SUM(C807:Z807)</f>
      </c>
    </row>
    <row r="808">
      <c r="A808" s="27">
        <f>'List Ticket'!A808</f>
      </c>
      <c r="B808" s="27">
        <f>'List Ticket'!B808</f>
      </c>
      <c r="C808" s="27">
        <f>IF('List Ticket'!C907=1, 1, 0)</f>
      </c>
      <c r="D808" s="26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8">
        <f>SUM(C808:Z808)</f>
      </c>
    </row>
    <row r="809">
      <c r="A809" s="27">
        <f>'List Ticket'!A809</f>
      </c>
      <c r="B809" s="27">
        <f>'List Ticket'!B809</f>
      </c>
      <c r="C809" s="27">
        <f>IF('List Ticket'!C908=1, 1, 0)</f>
      </c>
      <c r="D809" s="26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8">
        <f>SUM(C809:Z809)</f>
      </c>
    </row>
    <row r="810">
      <c r="A810" s="27">
        <f>'List Ticket'!A810</f>
      </c>
      <c r="B810" s="27">
        <f>'List Ticket'!B810</f>
      </c>
      <c r="C810" s="27">
        <f>IF('List Ticket'!C909=1, 1, 0)</f>
      </c>
      <c r="D810" s="26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8">
        <f>SUM(C810:Z810)</f>
      </c>
    </row>
    <row r="811">
      <c r="A811" s="27">
        <f>'List Ticket'!A811</f>
      </c>
      <c r="B811" s="27">
        <f>'List Ticket'!B811</f>
      </c>
      <c r="C811" s="27">
        <f>IF('List Ticket'!C910=1, 1, 0)</f>
      </c>
      <c r="D811" s="26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8">
        <f>SUM(C811:Z811)</f>
      </c>
    </row>
    <row r="812">
      <c r="A812" s="27">
        <f>'List Ticket'!A812</f>
      </c>
      <c r="B812" s="27">
        <f>'List Ticket'!B812</f>
      </c>
      <c r="C812" s="27">
        <f>IF('List Ticket'!C911=1, 1, 0)</f>
      </c>
      <c r="D812" s="26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8">
        <f>SUM(C812:Z812)</f>
      </c>
    </row>
    <row r="813">
      <c r="A813" s="27">
        <f>'List Ticket'!A813</f>
      </c>
      <c r="B813" s="27">
        <f>'List Ticket'!B813</f>
      </c>
      <c r="C813" s="27">
        <f>IF('List Ticket'!C912=1, 1, 0)</f>
      </c>
      <c r="D813" s="26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8">
        <f>SUM(C813:Z813)</f>
      </c>
    </row>
    <row r="814">
      <c r="A814" s="27">
        <f>'List Ticket'!A814</f>
      </c>
      <c r="B814" s="27">
        <f>'List Ticket'!B814</f>
      </c>
      <c r="C814" s="27">
        <f>IF('List Ticket'!C913=1, 1, 0)</f>
      </c>
      <c r="D814" s="26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8">
        <f>SUM(C814:Z814)</f>
      </c>
    </row>
    <row r="815">
      <c r="A815" s="27">
        <f>'List Ticket'!A815</f>
      </c>
      <c r="B815" s="27">
        <f>'List Ticket'!B815</f>
      </c>
      <c r="C815" s="27">
        <f>IF('List Ticket'!C914=1, 1, 0)</f>
      </c>
      <c r="D815" s="26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8">
        <f>SUM(C815:Z815)</f>
      </c>
    </row>
    <row r="816">
      <c r="A816" s="27">
        <f>'List Ticket'!A816</f>
      </c>
      <c r="B816" s="27">
        <f>'List Ticket'!B816</f>
      </c>
      <c r="C816" s="27">
        <f>IF('List Ticket'!C915=1, 1, 0)</f>
      </c>
      <c r="D816" s="26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8">
        <f>SUM(C816:Z816)</f>
      </c>
    </row>
    <row r="817">
      <c r="A817" s="27">
        <f>'List Ticket'!A817</f>
      </c>
      <c r="B817" s="27">
        <f>'List Ticket'!B817</f>
      </c>
      <c r="C817" s="27">
        <f>IF('List Ticket'!C916=1, 1, 0)</f>
      </c>
      <c r="D817" s="26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8">
        <f>SUM(C817:Z817)</f>
      </c>
    </row>
    <row r="818">
      <c r="A818" s="27">
        <f>'List Ticket'!A818</f>
      </c>
      <c r="B818" s="27">
        <f>'List Ticket'!B818</f>
      </c>
      <c r="C818" s="27">
        <f>IF('List Ticket'!C917=1, 1, 0)</f>
      </c>
      <c r="D818" s="26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8">
        <f>SUM(C818:Z818)</f>
      </c>
    </row>
    <row r="819">
      <c r="A819" s="27">
        <f>'List Ticket'!A819</f>
      </c>
      <c r="B819" s="27">
        <f>'List Ticket'!B819</f>
      </c>
      <c r="C819" s="27">
        <f>IF('List Ticket'!C918=1, 1, 0)</f>
      </c>
      <c r="D819" s="26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8">
        <f>SUM(C819:Z819)</f>
      </c>
    </row>
    <row r="820">
      <c r="A820" s="27">
        <f>'List Ticket'!A820</f>
      </c>
      <c r="B820" s="27">
        <f>'List Ticket'!B820</f>
      </c>
      <c r="C820" s="27">
        <f>IF('List Ticket'!C919=1, 1, 0)</f>
      </c>
      <c r="D820" s="26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8">
        <f>SUM(C820:Z820)</f>
      </c>
    </row>
    <row r="821">
      <c r="A821" s="27">
        <f>'List Ticket'!A821</f>
      </c>
      <c r="B821" s="27">
        <f>'List Ticket'!B821</f>
      </c>
      <c r="C821" s="27">
        <f>IF('List Ticket'!C920=1, 1, 0)</f>
      </c>
      <c r="D821" s="26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8">
        <f>SUM(C821:Z821)</f>
      </c>
    </row>
    <row r="822">
      <c r="A822" s="27">
        <f>'List Ticket'!A822</f>
      </c>
      <c r="B822" s="27">
        <f>'List Ticket'!B822</f>
      </c>
      <c r="C822" s="27">
        <f>IF('List Ticket'!C921=1, 1, 0)</f>
      </c>
      <c r="D822" s="26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8">
        <f>SUM(C822:Z822)</f>
      </c>
    </row>
    <row r="823">
      <c r="A823" s="27">
        <f>'List Ticket'!A823</f>
      </c>
      <c r="B823" s="27">
        <f>'List Ticket'!B823</f>
      </c>
      <c r="C823" s="27">
        <f>IF('List Ticket'!C922=1, 1, 0)</f>
      </c>
      <c r="D823" s="26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8">
        <f>SUM(C823:Z823)</f>
      </c>
    </row>
    <row r="824">
      <c r="A824" s="27">
        <f>'List Ticket'!A824</f>
      </c>
      <c r="B824" s="27">
        <f>'List Ticket'!B824</f>
      </c>
      <c r="C824" s="27">
        <f>IF('List Ticket'!C923=1, 1, 0)</f>
      </c>
      <c r="D824" s="26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8">
        <f>SUM(C824:Z824)</f>
      </c>
    </row>
    <row r="825">
      <c r="A825" s="27">
        <f>'List Ticket'!A825</f>
      </c>
      <c r="B825" s="27">
        <f>'List Ticket'!B825</f>
      </c>
      <c r="C825" s="27">
        <f>IF('List Ticket'!C924=1, 1, 0)</f>
      </c>
      <c r="D825" s="26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8">
        <f>SUM(C825:Z825)</f>
      </c>
    </row>
    <row r="826">
      <c r="A826" s="27">
        <f>'List Ticket'!A826</f>
      </c>
      <c r="B826" s="27">
        <f>'List Ticket'!B826</f>
      </c>
      <c r="C826" s="27">
        <f>IF('List Ticket'!C925=1, 1, 0)</f>
      </c>
      <c r="D826" s="26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8">
        <f>SUM(C826:Z826)</f>
      </c>
    </row>
    <row r="827">
      <c r="A827" s="27">
        <f>'List Ticket'!A827</f>
      </c>
      <c r="B827" s="27">
        <f>'List Ticket'!B827</f>
      </c>
      <c r="C827" s="27">
        <f>IF('List Ticket'!C926=1, 1, 0)</f>
      </c>
      <c r="D827" s="26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8">
        <f>SUM(C827:Z827)</f>
      </c>
    </row>
    <row r="828">
      <c r="A828" s="27">
        <f>'List Ticket'!A828</f>
      </c>
      <c r="B828" s="27">
        <f>'List Ticket'!B828</f>
      </c>
      <c r="C828" s="27">
        <f>IF('List Ticket'!C927=1, 1, 0)</f>
      </c>
      <c r="D828" s="26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8">
        <f>SUM(C828:Z828)</f>
      </c>
    </row>
    <row r="829">
      <c r="A829" s="27">
        <f>'List Ticket'!A829</f>
      </c>
      <c r="B829" s="27">
        <f>'List Ticket'!B829</f>
      </c>
      <c r="C829" s="27">
        <f>IF('List Ticket'!C928=1, 1, 0)</f>
      </c>
      <c r="D829" s="26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8">
        <f>SUM(C829:Z829)</f>
      </c>
    </row>
    <row r="830">
      <c r="A830" s="27">
        <f>'List Ticket'!A830</f>
      </c>
      <c r="B830" s="27">
        <f>'List Ticket'!B830</f>
      </c>
      <c r="C830" s="27">
        <f>IF('List Ticket'!C929=1, 1, 0)</f>
      </c>
      <c r="D830" s="26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8">
        <f>SUM(C830:Z830)</f>
      </c>
    </row>
    <row r="831">
      <c r="A831" s="27">
        <f>'List Ticket'!A831</f>
      </c>
      <c r="B831" s="27">
        <f>'List Ticket'!B831</f>
      </c>
      <c r="C831" s="27">
        <f>IF('List Ticket'!C930=1, 1, 0)</f>
      </c>
      <c r="D831" s="26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8">
        <f>SUM(C831:Z831)</f>
      </c>
    </row>
    <row r="832">
      <c r="A832" s="27">
        <f>'List Ticket'!A832</f>
      </c>
      <c r="B832" s="27">
        <f>'List Ticket'!B832</f>
      </c>
      <c r="C832" s="27">
        <f>IF('List Ticket'!C931=1, 1, 0)</f>
      </c>
      <c r="D832" s="26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8">
        <f>SUM(C832:Z832)</f>
      </c>
    </row>
    <row r="833">
      <c r="A833" s="27">
        <f>'List Ticket'!A833</f>
      </c>
      <c r="B833" s="27">
        <f>'List Ticket'!B833</f>
      </c>
      <c r="C833" s="27">
        <f>IF('List Ticket'!C932=1, 1, 0)</f>
      </c>
      <c r="D833" s="26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8">
        <f>SUM(C833:Z833)</f>
      </c>
    </row>
    <row r="834">
      <c r="A834" s="27">
        <f>'List Ticket'!A834</f>
      </c>
      <c r="B834" s="27">
        <f>'List Ticket'!B834</f>
      </c>
      <c r="C834" s="27">
        <f>IF('List Ticket'!C933=1, 1, 0)</f>
      </c>
      <c r="D834" s="26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8">
        <f>SUM(C834:Z834)</f>
      </c>
    </row>
    <row r="835">
      <c r="A835" s="27">
        <f>'List Ticket'!A835</f>
      </c>
      <c r="B835" s="27">
        <f>'List Ticket'!B835</f>
      </c>
      <c r="C835" s="27">
        <f>IF('List Ticket'!C934=1, 1, 0)</f>
      </c>
      <c r="D835" s="26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8">
        <f>SUM(C835:Z835)</f>
      </c>
    </row>
    <row r="836">
      <c r="A836" s="27">
        <f>'List Ticket'!A836</f>
      </c>
      <c r="B836" s="27">
        <f>'List Ticket'!B836</f>
      </c>
      <c r="C836" s="27">
        <f>IF('List Ticket'!C935=1, 1, 0)</f>
      </c>
      <c r="D836" s="26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8">
        <f>SUM(C836:Z836)</f>
      </c>
    </row>
    <row r="837">
      <c r="A837" s="27">
        <f>'List Ticket'!A837</f>
      </c>
      <c r="B837" s="27">
        <f>'List Ticket'!B837</f>
      </c>
      <c r="C837" s="27">
        <f>IF('List Ticket'!C936=1, 1, 0)</f>
      </c>
      <c r="D837" s="26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8">
        <f>SUM(C837:Z837)</f>
      </c>
    </row>
    <row r="838">
      <c r="A838" s="27">
        <f>'List Ticket'!A838</f>
      </c>
      <c r="B838" s="27">
        <f>'List Ticket'!B838</f>
      </c>
      <c r="C838" s="27">
        <f>IF('List Ticket'!C937=1, 1, 0)</f>
      </c>
      <c r="D838" s="26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8">
        <f>SUM(C838:Z838)</f>
      </c>
    </row>
    <row r="839">
      <c r="A839" s="27">
        <f>'List Ticket'!A839</f>
      </c>
      <c r="B839" s="27">
        <f>'List Ticket'!B839</f>
      </c>
      <c r="C839" s="27">
        <f>IF('List Ticket'!C938=1, 1, 0)</f>
      </c>
      <c r="D839" s="26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8">
        <f>SUM(C839:Z839)</f>
      </c>
    </row>
    <row r="840">
      <c r="A840" s="27">
        <f>'List Ticket'!A840</f>
      </c>
      <c r="B840" s="27">
        <f>'List Ticket'!B840</f>
      </c>
      <c r="C840" s="27">
        <f>IF('List Ticket'!C939=1, 1, 0)</f>
      </c>
      <c r="D840" s="26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8">
        <f>SUM(C840:Z840)</f>
      </c>
    </row>
    <row r="841">
      <c r="A841" s="27">
        <f>'List Ticket'!A841</f>
      </c>
      <c r="B841" s="27">
        <f>'List Ticket'!B841</f>
      </c>
      <c r="C841" s="27">
        <f>IF('List Ticket'!C940=1, 1, 0)</f>
      </c>
      <c r="D841" s="26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8">
        <f>SUM(C841:Z841)</f>
      </c>
    </row>
    <row r="842">
      <c r="A842" s="27">
        <f>'List Ticket'!A842</f>
      </c>
      <c r="B842" s="27">
        <f>'List Ticket'!B842</f>
      </c>
      <c r="C842" s="27">
        <f>IF('List Ticket'!C941=1, 1, 0)</f>
      </c>
      <c r="D842" s="26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8">
        <f>SUM(C842:Z842)</f>
      </c>
    </row>
    <row r="843">
      <c r="A843" s="27">
        <f>'List Ticket'!A843</f>
      </c>
      <c r="B843" s="27">
        <f>'List Ticket'!B843</f>
      </c>
      <c r="C843" s="27">
        <f>IF('List Ticket'!C942=1, 1, 0)</f>
      </c>
      <c r="D843" s="26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8">
        <f>SUM(C843:Z843)</f>
      </c>
    </row>
    <row r="844">
      <c r="A844" s="27">
        <f>'List Ticket'!A844</f>
      </c>
      <c r="B844" s="27">
        <f>'List Ticket'!B844</f>
      </c>
      <c r="C844" s="27">
        <f>IF('List Ticket'!C943=1, 1, 0)</f>
      </c>
      <c r="D844" s="26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8">
        <f>SUM(C844:Z844)</f>
      </c>
    </row>
    <row r="845">
      <c r="A845" s="27">
        <f>'List Ticket'!A845</f>
      </c>
      <c r="B845" s="27">
        <f>'List Ticket'!B845</f>
      </c>
      <c r="C845" s="27">
        <f>IF('List Ticket'!C944=1, 1, 0)</f>
      </c>
      <c r="D845" s="26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8">
        <f>SUM(C845:Z845)</f>
      </c>
    </row>
    <row r="846">
      <c r="A846" s="27">
        <f>'List Ticket'!A846</f>
      </c>
      <c r="B846" s="27">
        <f>'List Ticket'!B846</f>
      </c>
      <c r="C846" s="27">
        <f>IF('List Ticket'!C945=1, 1, 0)</f>
      </c>
      <c r="D846" s="26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8">
        <f>SUM(C846:Z846)</f>
      </c>
    </row>
    <row r="847">
      <c r="A847" s="27">
        <f>'List Ticket'!A847</f>
      </c>
      <c r="B847" s="27">
        <f>'List Ticket'!B847</f>
      </c>
      <c r="C847" s="27">
        <f>IF('List Ticket'!C946=1, 1, 0)</f>
      </c>
      <c r="D847" s="26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8">
        <f>SUM(C847:Z847)</f>
      </c>
    </row>
    <row r="848">
      <c r="A848" s="27">
        <f>'List Ticket'!A848</f>
      </c>
      <c r="B848" s="27">
        <f>'List Ticket'!B848</f>
      </c>
      <c r="C848" s="27">
        <f>IF('List Ticket'!C947=1, 1, 0)</f>
      </c>
      <c r="D848" s="26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8">
        <f>SUM(C848:Z848)</f>
      </c>
    </row>
    <row r="849">
      <c r="A849" s="27">
        <f>'List Ticket'!A849</f>
      </c>
      <c r="B849" s="27">
        <f>'List Ticket'!B849</f>
      </c>
      <c r="C849" s="27">
        <f>IF('List Ticket'!C948=1, 1, 0)</f>
      </c>
      <c r="D849" s="26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8">
        <f>SUM(C849:Z849)</f>
      </c>
    </row>
    <row r="850">
      <c r="A850" s="27">
        <f>'List Ticket'!A850</f>
      </c>
      <c r="B850" s="27">
        <f>'List Ticket'!B850</f>
      </c>
      <c r="C850" s="27">
        <f>IF('List Ticket'!C949=1, 1, 0)</f>
      </c>
      <c r="D850" s="26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8">
        <f>SUM(C850:Z850)</f>
      </c>
    </row>
    <row r="851">
      <c r="A851" s="27">
        <f>'List Ticket'!A851</f>
      </c>
      <c r="B851" s="27">
        <f>'List Ticket'!B851</f>
      </c>
      <c r="C851" s="27">
        <f>IF('List Ticket'!C950=1, 1, 0)</f>
      </c>
      <c r="D851" s="26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8">
        <f>SUM(C851:Z851)</f>
      </c>
    </row>
    <row r="852">
      <c r="A852" s="27">
        <f>'List Ticket'!A852</f>
      </c>
      <c r="B852" s="27">
        <f>'List Ticket'!B852</f>
      </c>
      <c r="C852" s="27">
        <f>IF('List Ticket'!C951=1, 1, 0)</f>
      </c>
      <c r="D852" s="26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8">
        <f>SUM(C852:Z852)</f>
      </c>
    </row>
    <row r="853">
      <c r="A853" s="27">
        <f>'List Ticket'!A853</f>
      </c>
      <c r="B853" s="27">
        <f>'List Ticket'!B853</f>
      </c>
      <c r="C853" s="27">
        <f>IF('List Ticket'!C952=1, 1, 0)</f>
      </c>
      <c r="D853" s="26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8">
        <f>SUM(C853:Z853)</f>
      </c>
    </row>
    <row r="854">
      <c r="A854" s="27">
        <f>'List Ticket'!A854</f>
      </c>
      <c r="B854" s="27">
        <f>'List Ticket'!B854</f>
      </c>
      <c r="C854" s="27">
        <f>IF('List Ticket'!C953=1, 1, 0)</f>
      </c>
      <c r="D854" s="26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8">
        <f>SUM(C854:Z854)</f>
      </c>
    </row>
    <row r="855">
      <c r="A855" s="27">
        <f>'List Ticket'!A855</f>
      </c>
      <c r="B855" s="27">
        <f>'List Ticket'!B855</f>
      </c>
      <c r="C855" s="27">
        <f>IF('List Ticket'!C954=1, 1, 0)</f>
      </c>
      <c r="D855" s="26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8">
        <f>SUM(C855:Z855)</f>
      </c>
    </row>
    <row r="856">
      <c r="A856" s="27">
        <f>'List Ticket'!A856</f>
      </c>
      <c r="B856" s="27">
        <f>'List Ticket'!B856</f>
      </c>
      <c r="C856" s="27">
        <f>IF('List Ticket'!C955=1, 1, 0)</f>
      </c>
      <c r="D856" s="26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8">
        <f>SUM(C856:Z856)</f>
      </c>
    </row>
    <row r="857">
      <c r="A857" s="27">
        <f>'List Ticket'!A857</f>
      </c>
      <c r="B857" s="27">
        <f>'List Ticket'!B857</f>
      </c>
      <c r="C857" s="27">
        <f>IF('List Ticket'!C956=1, 1, 0)</f>
      </c>
      <c r="D857" s="26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8">
        <f>SUM(C857:Z857)</f>
      </c>
    </row>
    <row r="858">
      <c r="A858" s="27">
        <f>'List Ticket'!A858</f>
      </c>
      <c r="B858" s="27">
        <f>'List Ticket'!B858</f>
      </c>
      <c r="C858" s="27">
        <f>IF('List Ticket'!C957=1, 1, 0)</f>
      </c>
      <c r="D858" s="26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8">
        <f>SUM(C858:Z858)</f>
      </c>
    </row>
    <row r="859">
      <c r="A859" s="27">
        <f>'List Ticket'!A859</f>
      </c>
      <c r="B859" s="27">
        <f>'List Ticket'!B859</f>
      </c>
      <c r="C859" s="27">
        <f>IF('List Ticket'!C958=1, 1, 0)</f>
      </c>
      <c r="D859" s="26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8">
        <f>SUM(C859:Z859)</f>
      </c>
    </row>
    <row r="860">
      <c r="A860" s="27">
        <f>'List Ticket'!A860</f>
      </c>
      <c r="B860" s="27">
        <f>'List Ticket'!B860</f>
      </c>
      <c r="C860" s="27">
        <f>IF('List Ticket'!C959=1, 1, 0)</f>
      </c>
      <c r="D860" s="26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8">
        <f>SUM(C860:Z860)</f>
      </c>
    </row>
    <row r="861">
      <c r="A861" s="27">
        <f>'List Ticket'!A861</f>
      </c>
      <c r="B861" s="27">
        <f>'List Ticket'!B861</f>
      </c>
      <c r="C861" s="27">
        <f>IF('List Ticket'!C960=1, 1, 0)</f>
      </c>
      <c r="D861" s="26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8">
        <f>SUM(C861:Z861)</f>
      </c>
    </row>
    <row r="862">
      <c r="A862" s="27">
        <f>'List Ticket'!A862</f>
      </c>
      <c r="B862" s="27">
        <f>'List Ticket'!B862</f>
      </c>
      <c r="C862" s="27">
        <f>IF('List Ticket'!C961=1, 1, 0)</f>
      </c>
      <c r="D862" s="26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8">
        <f>SUM(C862:Z862)</f>
      </c>
    </row>
    <row r="863">
      <c r="A863" s="27">
        <f>'List Ticket'!A863</f>
      </c>
      <c r="B863" s="27">
        <f>'List Ticket'!B863</f>
      </c>
      <c r="C863" s="27">
        <f>IF('List Ticket'!C962=1, 1, 0)</f>
      </c>
      <c r="D863" s="26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8">
        <f>SUM(C863:Z863)</f>
      </c>
    </row>
    <row r="864">
      <c r="A864" s="27">
        <f>'List Ticket'!A864</f>
      </c>
      <c r="B864" s="27">
        <f>'List Ticket'!B864</f>
      </c>
      <c r="C864" s="27">
        <f>IF('List Ticket'!C963=1, 1, 0)</f>
      </c>
      <c r="D864" s="26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8">
        <f>SUM(C864:Z864)</f>
      </c>
    </row>
    <row r="865">
      <c r="A865" s="27">
        <f>'List Ticket'!A865</f>
      </c>
      <c r="B865" s="27">
        <f>'List Ticket'!B865</f>
      </c>
      <c r="C865" s="27">
        <f>IF('List Ticket'!C964=1, 1, 0)</f>
      </c>
      <c r="D865" s="26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8">
        <f>SUM(C865:Z865)</f>
      </c>
    </row>
    <row r="866">
      <c r="A866" s="27">
        <f>'List Ticket'!A866</f>
      </c>
      <c r="B866" s="27">
        <f>'List Ticket'!B866</f>
      </c>
      <c r="C866" s="27">
        <f>IF('List Ticket'!C965=1, 1, 0)</f>
      </c>
      <c r="D866" s="26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8">
        <f>SUM(C866:Z866)</f>
      </c>
    </row>
    <row r="867">
      <c r="A867" s="27">
        <f>'List Ticket'!A867</f>
      </c>
      <c r="B867" s="27">
        <f>'List Ticket'!B867</f>
      </c>
      <c r="C867" s="27">
        <f>IF('List Ticket'!C966=1, 1, 0)</f>
      </c>
      <c r="D867" s="26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8">
        <f>SUM(C867:Z867)</f>
      </c>
    </row>
    <row r="868">
      <c r="A868" s="27">
        <f>'List Ticket'!A868</f>
      </c>
      <c r="B868" s="27">
        <f>'List Ticket'!B868</f>
      </c>
      <c r="C868" s="27">
        <f>IF('List Ticket'!C967=1, 1, 0)</f>
      </c>
      <c r="D868" s="26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8">
        <f>SUM(C868:Z868)</f>
      </c>
    </row>
    <row r="869">
      <c r="A869" s="27">
        <f>'List Ticket'!A869</f>
      </c>
      <c r="B869" s="27">
        <f>'List Ticket'!B869</f>
      </c>
      <c r="C869" s="27">
        <f>IF('List Ticket'!C968=1, 1, 0)</f>
      </c>
      <c r="D869" s="26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8">
        <f>SUM(C869:Z869)</f>
      </c>
    </row>
    <row r="870">
      <c r="A870" s="27">
        <f>'List Ticket'!A870</f>
      </c>
      <c r="B870" s="27">
        <f>'List Ticket'!B870</f>
      </c>
      <c r="C870" s="27">
        <f>IF('List Ticket'!C969=1, 1, 0)</f>
      </c>
      <c r="D870" s="26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8">
        <f>SUM(C870:Z870)</f>
      </c>
    </row>
    <row r="871">
      <c r="A871" s="27">
        <f>'List Ticket'!A871</f>
      </c>
      <c r="B871" s="27">
        <f>'List Ticket'!B871</f>
      </c>
      <c r="C871" s="27">
        <f>IF('List Ticket'!C970=1, 1, 0)</f>
      </c>
      <c r="D871" s="26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8">
        <f>SUM(C871:Z871)</f>
      </c>
    </row>
    <row r="872">
      <c r="A872" s="27">
        <f>'List Ticket'!A872</f>
      </c>
      <c r="B872" s="27">
        <f>'List Ticket'!B872</f>
      </c>
      <c r="C872" s="27">
        <f>IF('List Ticket'!C971=1, 1, 0)</f>
      </c>
      <c r="D872" s="26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8">
        <f>SUM(C872:Z872)</f>
      </c>
    </row>
    <row r="873">
      <c r="A873" s="27">
        <f>'List Ticket'!A873</f>
      </c>
      <c r="B873" s="27">
        <f>'List Ticket'!B873</f>
      </c>
      <c r="C873" s="27">
        <f>IF('List Ticket'!C972=1, 1, 0)</f>
      </c>
      <c r="D873" s="26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8">
        <f>SUM(C873:Z873)</f>
      </c>
    </row>
    <row r="874">
      <c r="A874" s="27">
        <f>'List Ticket'!A874</f>
      </c>
      <c r="B874" s="27">
        <f>'List Ticket'!B874</f>
      </c>
      <c r="C874" s="27">
        <f>IF('List Ticket'!C973=1, 1, 0)</f>
      </c>
      <c r="D874" s="26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8">
        <f>SUM(C874:Z874)</f>
      </c>
    </row>
    <row r="875">
      <c r="A875" s="27">
        <f>'List Ticket'!A875</f>
      </c>
      <c r="B875" s="27">
        <f>'List Ticket'!B875</f>
      </c>
      <c r="C875" s="27">
        <f>IF('List Ticket'!C974=1, 1, 0)</f>
      </c>
      <c r="D875" s="26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8">
        <f>SUM(C875:Z875)</f>
      </c>
    </row>
    <row r="876">
      <c r="A876" s="27">
        <f>'List Ticket'!A876</f>
      </c>
      <c r="B876" s="27">
        <f>'List Ticket'!B876</f>
      </c>
      <c r="C876" s="27">
        <f>IF('List Ticket'!C975=1, 1, 0)</f>
      </c>
      <c r="D876" s="26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8">
        <f>SUM(C876:Z876)</f>
      </c>
    </row>
    <row r="877">
      <c r="A877" s="27">
        <f>'List Ticket'!A877</f>
      </c>
      <c r="B877" s="27">
        <f>'List Ticket'!B877</f>
      </c>
      <c r="C877" s="27">
        <f>IF('List Ticket'!C976=1, 1, 0)</f>
      </c>
      <c r="D877" s="26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8">
        <f>SUM(C877:Z877)</f>
      </c>
    </row>
    <row r="878">
      <c r="A878" s="27">
        <f>'List Ticket'!A878</f>
      </c>
      <c r="B878" s="27">
        <f>'List Ticket'!B878</f>
      </c>
      <c r="C878" s="27">
        <f>IF('List Ticket'!C977=1, 1, 0)</f>
      </c>
      <c r="D878" s="26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8">
        <f>SUM(C878:Z878)</f>
      </c>
    </row>
    <row r="879">
      <c r="A879" s="27">
        <f>'List Ticket'!A879</f>
      </c>
      <c r="B879" s="27">
        <f>'List Ticket'!B879</f>
      </c>
      <c r="C879" s="27">
        <f>IF('List Ticket'!C978=1, 1, 0)</f>
      </c>
      <c r="D879" s="26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8">
        <f>SUM(C879:Z879)</f>
      </c>
    </row>
    <row r="880">
      <c r="A880" s="27">
        <f>'List Ticket'!A880</f>
      </c>
      <c r="B880" s="27">
        <f>'List Ticket'!B880</f>
      </c>
      <c r="C880" s="27">
        <f>IF('List Ticket'!C979=1, 1, 0)</f>
      </c>
      <c r="D880" s="26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8">
        <f>SUM(C880:Z880)</f>
      </c>
    </row>
    <row r="881">
      <c r="A881" s="27">
        <f>'List Ticket'!A881</f>
      </c>
      <c r="B881" s="27">
        <f>'List Ticket'!B881</f>
      </c>
      <c r="C881" s="27">
        <f>IF('List Ticket'!C980=1, 1, 0)</f>
      </c>
      <c r="D881" s="26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8">
        <f>SUM(C881:Z881)</f>
      </c>
    </row>
    <row r="882">
      <c r="A882" s="27">
        <f>'List Ticket'!A882</f>
      </c>
      <c r="B882" s="27">
        <f>'List Ticket'!B882</f>
      </c>
      <c r="C882" s="27">
        <f>IF('List Ticket'!C981=1, 1, 0)</f>
      </c>
      <c r="D882" s="26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8">
        <f>SUM(C882:Z882)</f>
      </c>
    </row>
    <row r="883">
      <c r="A883" s="27">
        <f>'List Ticket'!A883</f>
      </c>
      <c r="B883" s="27">
        <f>'List Ticket'!B883</f>
      </c>
      <c r="C883" s="27">
        <f>IF('List Ticket'!C982=1, 1, 0)</f>
      </c>
      <c r="D883" s="26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8">
        <f>SUM(C883:Z883)</f>
      </c>
    </row>
    <row r="884">
      <c r="A884" s="27">
        <f>'List Ticket'!A884</f>
      </c>
      <c r="B884" s="27">
        <f>'List Ticket'!B884</f>
      </c>
      <c r="C884" s="27">
        <f>IF('List Ticket'!C983=1, 1, 0)</f>
      </c>
      <c r="D884" s="26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8">
        <f>SUM(C884:Z884)</f>
      </c>
    </row>
    <row r="885">
      <c r="A885" s="27">
        <f>'List Ticket'!A885</f>
      </c>
      <c r="B885" s="27">
        <f>'List Ticket'!B885</f>
      </c>
      <c r="C885" s="27">
        <f>IF('List Ticket'!C984=1, 1, 0)</f>
      </c>
      <c r="D885" s="26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8">
        <f>SUM(C885:Z885)</f>
      </c>
    </row>
    <row r="886">
      <c r="A886" s="27">
        <f>'List Ticket'!A886</f>
      </c>
      <c r="B886" s="27">
        <f>'List Ticket'!B886</f>
      </c>
      <c r="C886" s="27">
        <f>IF('List Ticket'!C985=1, 1, 0)</f>
      </c>
      <c r="D886" s="26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8">
        <f>SUM(C886:Z886)</f>
      </c>
    </row>
    <row r="887">
      <c r="A887" s="27">
        <f>'List Ticket'!A887</f>
      </c>
      <c r="B887" s="27">
        <f>'List Ticket'!B887</f>
      </c>
      <c r="C887" s="27">
        <f>IF('List Ticket'!C986=1, 1, 0)</f>
      </c>
      <c r="D887" s="26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8">
        <f>SUM(C887:Z887)</f>
      </c>
    </row>
    <row r="888">
      <c r="A888" s="27">
        <f>'List Ticket'!A888</f>
      </c>
      <c r="B888" s="27">
        <f>'List Ticket'!B888</f>
      </c>
      <c r="C888" s="27">
        <f>IF('List Ticket'!C987=1, 1, 0)</f>
      </c>
      <c r="D888" s="26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8">
        <f>SUM(C888:Z888)</f>
      </c>
    </row>
    <row r="889">
      <c r="A889" s="27">
        <f>'List Ticket'!A889</f>
      </c>
      <c r="B889" s="27">
        <f>'List Ticket'!B889</f>
      </c>
      <c r="C889" s="27">
        <f>IF('List Ticket'!C988=1, 1, 0)</f>
      </c>
      <c r="D889" s="26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8">
        <f>SUM(C889:Z889)</f>
      </c>
    </row>
    <row r="890">
      <c r="A890" s="27">
        <f>'List Ticket'!A890</f>
      </c>
      <c r="B890" s="27">
        <f>'List Ticket'!B890</f>
      </c>
      <c r="C890" s="27">
        <f>IF('List Ticket'!C989=1, 1, 0)</f>
      </c>
      <c r="D890" s="26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8">
        <f>SUM(C890:Z890)</f>
      </c>
    </row>
    <row r="891">
      <c r="A891" s="27">
        <f>'List Ticket'!A891</f>
      </c>
      <c r="B891" s="27">
        <f>'List Ticket'!B891</f>
      </c>
      <c r="C891" s="27">
        <f>IF('List Ticket'!C990=1, 1, 0)</f>
      </c>
      <c r="D891" s="26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8">
        <f>SUM(C891:Z891)</f>
      </c>
    </row>
    <row r="892">
      <c r="A892" s="27">
        <f>'List Ticket'!A892</f>
      </c>
      <c r="B892" s="27">
        <f>'List Ticket'!B892</f>
      </c>
      <c r="C892" s="27">
        <f>IF('List Ticket'!C991=1, 1, 0)</f>
      </c>
      <c r="D892" s="26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8">
        <f>SUM(C892:Z892)</f>
      </c>
    </row>
    <row r="893">
      <c r="A893" s="27">
        <f>'List Ticket'!A893</f>
      </c>
      <c r="B893" s="27">
        <f>'List Ticket'!B893</f>
      </c>
      <c r="C893" s="27">
        <f>IF('List Ticket'!C992=1, 1, 0)</f>
      </c>
      <c r="D893" s="26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8">
        <f>SUM(C893:Z893)</f>
      </c>
    </row>
    <row r="894">
      <c r="A894" s="27">
        <f>'List Ticket'!A894</f>
      </c>
      <c r="B894" s="27">
        <f>'List Ticket'!B894</f>
      </c>
      <c r="C894" s="27">
        <f>IF('List Ticket'!C993=1, 1, 0)</f>
      </c>
      <c r="D894" s="26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8">
        <f>SUM(C894:Z894)</f>
      </c>
    </row>
    <row r="895">
      <c r="A895" s="27">
        <f>'List Ticket'!A895</f>
      </c>
      <c r="B895" s="27">
        <f>'List Ticket'!B895</f>
      </c>
      <c r="C895" s="27">
        <f>IF('List Ticket'!C994=1, 1, 0)</f>
      </c>
      <c r="D895" s="26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8">
        <f>SUM(C895:Z895)</f>
      </c>
    </row>
    <row r="896">
      <c r="A896" s="27">
        <f>'List Ticket'!A896</f>
      </c>
      <c r="B896" s="27">
        <f>'List Ticket'!B896</f>
      </c>
      <c r="C896" s="27">
        <f>IF('List Ticket'!C995=1, 1, 0)</f>
      </c>
      <c r="D896" s="26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8">
        <f>SUM(C896:Z896)</f>
      </c>
    </row>
    <row r="897">
      <c r="A897" s="27">
        <f>'List Ticket'!A897</f>
      </c>
      <c r="B897" s="27">
        <f>'List Ticket'!B897</f>
      </c>
      <c r="C897" s="27">
        <f>IF('List Ticket'!C996=1, 1, 0)</f>
      </c>
      <c r="D897" s="26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8">
        <f>SUM(C897:Z897)</f>
      </c>
    </row>
    <row r="898">
      <c r="A898" s="27">
        <f>'List Ticket'!A898</f>
      </c>
      <c r="B898" s="27">
        <f>'List Ticket'!B898</f>
      </c>
      <c r="C898" s="27">
        <f>IF('List Ticket'!C997=1, 1, 0)</f>
      </c>
      <c r="D898" s="26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8">
        <f>SUM(C898:Z898)</f>
      </c>
    </row>
    <row r="899">
      <c r="A899" s="27">
        <f>'List Ticket'!A899</f>
      </c>
      <c r="B899" s="27">
        <f>'List Ticket'!B899</f>
      </c>
      <c r="C899" s="27">
        <f>IF('List Ticket'!C998=1, 1, 0)</f>
      </c>
      <c r="D899" s="26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8">
        <f>SUM(C899:Z899)</f>
      </c>
    </row>
    <row r="900">
      <c r="A900" s="27">
        <f>'List Ticket'!A900</f>
      </c>
      <c r="B900" s="27">
        <f>'List Ticket'!B900</f>
      </c>
      <c r="C900" s="27">
        <f>IF('List Ticket'!C999=1, 1, 0)</f>
      </c>
      <c r="D900" s="26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8">
        <f>SUM(C900:Z900)</f>
      </c>
    </row>
    <row r="901">
      <c r="A901" s="27">
        <f>'List Ticket'!A901</f>
      </c>
      <c r="B901" s="27">
        <f>'List Ticket'!B901</f>
      </c>
      <c r="C901" s="27">
        <f>IF('List Ticket'!C1000=1, 1, 0)</f>
      </c>
      <c r="D901" s="26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8">
        <f>SUM(C901:Z901)</f>
      </c>
    </row>
    <row r="902">
      <c r="A902" s="27">
        <f>'List Ticket'!A902</f>
      </c>
      <c r="B902" s="27">
        <f>'List Ticket'!B902</f>
      </c>
      <c r="C902" s="27">
        <f>IF('List Ticket'!C1001=1, 1, 0)</f>
      </c>
      <c r="D902" s="26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8">
        <f>SUM(C902:Z902)</f>
      </c>
    </row>
    <row r="903">
      <c r="A903" s="27">
        <f>'List Ticket'!A903</f>
      </c>
      <c r="B903" s="27">
        <f>'List Ticket'!B903</f>
      </c>
      <c r="C903" s="27">
        <f>IF('List Ticket'!C1002=1, 1, 0)</f>
      </c>
      <c r="D903" s="26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8">
        <f>SUM(C903:Z903)</f>
      </c>
    </row>
    <row r="904">
      <c r="A904" s="27">
        <f>'List Ticket'!A904</f>
      </c>
      <c r="B904" s="27">
        <f>'List Ticket'!B904</f>
      </c>
      <c r="C904" s="27">
        <f>IF('List Ticket'!C1003=1, 1, 0)</f>
      </c>
      <c r="D904" s="26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8">
        <f>SUM(C904:Z904)</f>
      </c>
    </row>
    <row r="905">
      <c r="A905" s="27">
        <f>'List Ticket'!A905</f>
      </c>
      <c r="B905" s="27">
        <f>'List Ticket'!B905</f>
      </c>
      <c r="C905" s="27">
        <f>IF('List Ticket'!C1004=1, 1, 0)</f>
      </c>
      <c r="D905" s="26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8">
        <f>SUM(C905:Z905)</f>
      </c>
    </row>
    <row r="906">
      <c r="A906" s="27">
        <f>'List Ticket'!A906</f>
      </c>
      <c r="B906" s="27">
        <f>'List Ticket'!B906</f>
      </c>
      <c r="C906" s="27">
        <f>IF('List Ticket'!C1005=1, 1, 0)</f>
      </c>
      <c r="D906" s="26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8">
        <f>SUM(C906:Z906)</f>
      </c>
    </row>
    <row r="907">
      <c r="A907" s="27">
        <f>'List Ticket'!A907</f>
      </c>
      <c r="B907" s="27">
        <f>'List Ticket'!B907</f>
      </c>
      <c r="C907" s="27">
        <f>IF('List Ticket'!C1006=1, 1, 0)</f>
      </c>
      <c r="D907" s="26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8">
        <f>SUM(C907:Z907)</f>
      </c>
    </row>
    <row r="908">
      <c r="A908" s="27">
        <f>'List Ticket'!A908</f>
      </c>
      <c r="B908" s="27">
        <f>'List Ticket'!B908</f>
      </c>
      <c r="C908" s="27">
        <f>IF('List Ticket'!C1007=1, 1, 0)</f>
      </c>
      <c r="D908" s="26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8">
        <f>SUM(C908:Z908)</f>
      </c>
    </row>
    <row r="909">
      <c r="A909" s="27">
        <f>'List Ticket'!A909</f>
      </c>
      <c r="B909" s="27">
        <f>'List Ticket'!B909</f>
      </c>
      <c r="C909" s="27">
        <f>IF('List Ticket'!C1008=1, 1, 0)</f>
      </c>
      <c r="D909" s="26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8">
        <f>SUM(C909:Z909)</f>
      </c>
    </row>
    <row r="910">
      <c r="A910" s="27">
        <f>'List Ticket'!A910</f>
      </c>
      <c r="B910" s="27">
        <f>'List Ticket'!B910</f>
      </c>
      <c r="C910" s="27">
        <f>IF('List Ticket'!C1009=1, 1, 0)</f>
      </c>
      <c r="D910" s="26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8">
        <f>SUM(C910:Z910)</f>
      </c>
    </row>
    <row r="911">
      <c r="A911" s="27">
        <f>'List Ticket'!A911</f>
      </c>
      <c r="B911" s="27">
        <f>'List Ticket'!B911</f>
      </c>
      <c r="C911" s="27">
        <f>IF('List Ticket'!C1010=1, 1, 0)</f>
      </c>
      <c r="D911" s="26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8">
        <f>SUM(C911:Z911)</f>
      </c>
    </row>
    <row r="912">
      <c r="A912" s="27">
        <f>'List Ticket'!A912</f>
      </c>
      <c r="B912" s="27">
        <f>'List Ticket'!B912</f>
      </c>
      <c r="C912" s="27">
        <f>IF('List Ticket'!C1011=1, 1, 0)</f>
      </c>
      <c r="D912" s="26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8">
        <f>SUM(C912:Z912)</f>
      </c>
    </row>
    <row r="913">
      <c r="A913" s="27">
        <f>'List Ticket'!A913</f>
      </c>
      <c r="B913" s="27">
        <f>'List Ticket'!B913</f>
      </c>
      <c r="C913" s="27">
        <f>IF('List Ticket'!C1012=1, 1, 0)</f>
      </c>
      <c r="D913" s="26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8">
        <f>SUM(C913:Z913)</f>
      </c>
    </row>
    <row r="914">
      <c r="A914" s="27">
        <f>'List Ticket'!A914</f>
      </c>
      <c r="B914" s="27">
        <f>'List Ticket'!B914</f>
      </c>
      <c r="C914" s="27">
        <f>IF('List Ticket'!C1013=1, 1, 0)</f>
      </c>
      <c r="D914" s="26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8">
        <f>SUM(C914:Z914)</f>
      </c>
    </row>
    <row r="915">
      <c r="A915" s="27">
        <f>'List Ticket'!A915</f>
      </c>
      <c r="B915" s="27">
        <f>'List Ticket'!B915</f>
      </c>
      <c r="C915" s="27">
        <f>IF('List Ticket'!C1014=1, 1, 0)</f>
      </c>
      <c r="D915" s="26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8">
        <f>SUM(C915:Z915)</f>
      </c>
    </row>
    <row r="916">
      <c r="A916" s="27">
        <f>'List Ticket'!A916</f>
      </c>
      <c r="B916" s="27">
        <f>'List Ticket'!B916</f>
      </c>
      <c r="C916" s="27">
        <f>IF('List Ticket'!C1015=1, 1, 0)</f>
      </c>
      <c r="D916" s="26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8">
        <f>SUM(C916:Z916)</f>
      </c>
    </row>
    <row r="917">
      <c r="A917" s="27">
        <f>'List Ticket'!A917</f>
      </c>
      <c r="B917" s="27">
        <f>'List Ticket'!B917</f>
      </c>
      <c r="C917" s="27">
        <f>IF('List Ticket'!C1016=1, 1, 0)</f>
      </c>
      <c r="D917" s="26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8">
        <f>SUM(C917:Z917)</f>
      </c>
    </row>
    <row r="918">
      <c r="A918" s="27">
        <f>'List Ticket'!A918</f>
      </c>
      <c r="B918" s="27">
        <f>'List Ticket'!B918</f>
      </c>
      <c r="C918" s="27">
        <f>IF('List Ticket'!C1017=1, 1, 0)</f>
      </c>
      <c r="D918" s="26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8">
        <f>SUM(C918:Z918)</f>
      </c>
    </row>
    <row r="919">
      <c r="A919" s="27">
        <f>'List Ticket'!A919</f>
      </c>
      <c r="B919" s="27">
        <f>'List Ticket'!B919</f>
      </c>
      <c r="C919" s="27">
        <f>IF('List Ticket'!C1018=1, 1, 0)</f>
      </c>
      <c r="D919" s="26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8">
        <f>SUM(C919:Z919)</f>
      </c>
    </row>
    <row r="920">
      <c r="A920" s="27">
        <f>'List Ticket'!A920</f>
      </c>
      <c r="B920" s="27">
        <f>'List Ticket'!B920</f>
      </c>
      <c r="C920" s="27">
        <f>IF('List Ticket'!C1019=1, 1, 0)</f>
      </c>
      <c r="D920" s="26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8">
        <f>SUM(C920:Z920)</f>
      </c>
    </row>
    <row r="921">
      <c r="A921" s="27">
        <f>'List Ticket'!A921</f>
      </c>
      <c r="B921" s="27">
        <f>'List Ticket'!B921</f>
      </c>
      <c r="C921" s="27">
        <f>IF('List Ticket'!C1020=1, 1, 0)</f>
      </c>
      <c r="D921" s="26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8">
        <f>SUM(C921:Z921)</f>
      </c>
    </row>
    <row r="922">
      <c r="A922" s="27">
        <f>'List Ticket'!A922</f>
      </c>
      <c r="B922" s="27">
        <f>'List Ticket'!B922</f>
      </c>
      <c r="C922" s="27">
        <f>IF('List Ticket'!C1021=1, 1, 0)</f>
      </c>
      <c r="D922" s="26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8">
        <f>SUM(C922:Z922)</f>
      </c>
    </row>
    <row r="923">
      <c r="A923" s="27">
        <f>'List Ticket'!A923</f>
      </c>
      <c r="B923" s="27">
        <f>'List Ticket'!B923</f>
      </c>
      <c r="C923" s="27">
        <f>IF('List Ticket'!C1022=1, 1, 0)</f>
      </c>
      <c r="D923" s="26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8">
        <f>SUM(C923:Z923)</f>
      </c>
    </row>
    <row r="924">
      <c r="A924" s="27">
        <f>'List Ticket'!A924</f>
      </c>
      <c r="B924" s="27">
        <f>'List Ticket'!B924</f>
      </c>
      <c r="C924" s="27">
        <f>IF('List Ticket'!C1023=1, 1, 0)</f>
      </c>
      <c r="D924" s="26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8">
        <f>SUM(C924:Z924)</f>
      </c>
    </row>
    <row r="925">
      <c r="A925" s="27">
        <f>'List Ticket'!A925</f>
      </c>
      <c r="B925" s="27">
        <f>'List Ticket'!B925</f>
      </c>
      <c r="C925" s="27">
        <f>IF('List Ticket'!C1024=1, 1, 0)</f>
      </c>
      <c r="D925" s="26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8">
        <f>SUM(C925:Z925)</f>
      </c>
    </row>
    <row r="926">
      <c r="A926" s="27">
        <f>'List Ticket'!A926</f>
      </c>
      <c r="B926" s="27">
        <f>'List Ticket'!B926</f>
      </c>
      <c r="C926" s="27">
        <f>IF('List Ticket'!C1025=1, 1, 0)</f>
      </c>
      <c r="D926" s="26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8">
        <f>SUM(C926:Z926)</f>
      </c>
    </row>
    <row r="927">
      <c r="A927" s="27">
        <f>'List Ticket'!A927</f>
      </c>
      <c r="B927" s="27">
        <f>'List Ticket'!B927</f>
      </c>
      <c r="C927" s="27">
        <f>IF('List Ticket'!C1026=1, 1, 0)</f>
      </c>
      <c r="D927" s="26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8">
        <f>SUM(C927:Z927)</f>
      </c>
    </row>
    <row r="928">
      <c r="A928" s="27">
        <f>'List Ticket'!A928</f>
      </c>
      <c r="B928" s="27">
        <f>'List Ticket'!B928</f>
      </c>
      <c r="C928" s="27">
        <f>IF('List Ticket'!C1027=1, 1, 0)</f>
      </c>
      <c r="D928" s="26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8">
        <f>SUM(C928:Z928)</f>
      </c>
    </row>
    <row r="929">
      <c r="A929" s="27">
        <f>'List Ticket'!A929</f>
      </c>
      <c r="B929" s="27">
        <f>'List Ticket'!B929</f>
      </c>
      <c r="C929" s="27">
        <f>IF('List Ticket'!C1028=1, 1, 0)</f>
      </c>
      <c r="D929" s="26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8">
        <f>SUM(C929:Z929)</f>
      </c>
    </row>
    <row r="930">
      <c r="A930" s="27">
        <f>'List Ticket'!A930</f>
      </c>
      <c r="B930" s="27">
        <f>'List Ticket'!B930</f>
      </c>
      <c r="C930" s="27">
        <f>IF('List Ticket'!C1029=1, 1, 0)</f>
      </c>
      <c r="D930" s="26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8">
        <f>SUM(C930:Z930)</f>
      </c>
    </row>
    <row r="931">
      <c r="A931" s="27">
        <f>'List Ticket'!A931</f>
      </c>
      <c r="B931" s="27">
        <f>'List Ticket'!B931</f>
      </c>
      <c r="C931" s="27">
        <f>IF('List Ticket'!C1030=1, 1, 0)</f>
      </c>
      <c r="D931" s="26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8">
        <f>SUM(C931:Z931)</f>
      </c>
    </row>
    <row r="932">
      <c r="A932" s="27">
        <f>'List Ticket'!A932</f>
      </c>
      <c r="B932" s="27">
        <f>'List Ticket'!B932</f>
      </c>
      <c r="C932" s="27">
        <f>IF('List Ticket'!C1031=1, 1, 0)</f>
      </c>
      <c r="D932" s="26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8">
        <f>SUM(C932:Z932)</f>
      </c>
    </row>
    <row r="933">
      <c r="A933" s="27">
        <f>'List Ticket'!A933</f>
      </c>
      <c r="B933" s="27">
        <f>'List Ticket'!B933</f>
      </c>
      <c r="C933" s="27">
        <f>IF('List Ticket'!C1032=1, 1, 0)</f>
      </c>
      <c r="D933" s="26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8">
        <f>SUM(C933:Z933)</f>
      </c>
    </row>
    <row r="934">
      <c r="A934" s="27">
        <f>'List Ticket'!A934</f>
      </c>
      <c r="B934" s="27">
        <f>'List Ticket'!B934</f>
      </c>
      <c r="C934" s="27">
        <f>IF('List Ticket'!C1033=1, 1, 0)</f>
      </c>
      <c r="D934" s="26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8">
        <f>SUM(C934:Z934)</f>
      </c>
    </row>
    <row r="935">
      <c r="A935" s="27">
        <f>'List Ticket'!A935</f>
      </c>
      <c r="B935" s="27">
        <f>'List Ticket'!B935</f>
      </c>
      <c r="C935" s="27">
        <f>IF('List Ticket'!C1034=1, 1, 0)</f>
      </c>
      <c r="D935" s="26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8">
        <f>SUM(C935:Z935)</f>
      </c>
    </row>
    <row r="936">
      <c r="A936" s="27">
        <f>'List Ticket'!A936</f>
      </c>
      <c r="B936" s="27">
        <f>'List Ticket'!B936</f>
      </c>
      <c r="C936" s="27">
        <f>IF('List Ticket'!C1035=1, 1, 0)</f>
      </c>
      <c r="D936" s="26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8">
        <f>SUM(C936:Z936)</f>
      </c>
    </row>
    <row r="937">
      <c r="A937" s="27">
        <f>'List Ticket'!A937</f>
      </c>
      <c r="B937" s="27">
        <f>'List Ticket'!B937</f>
      </c>
      <c r="C937" s="27">
        <f>IF('List Ticket'!C1036=1, 1, 0)</f>
      </c>
      <c r="D937" s="26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8">
        <f>SUM(C937:Z937)</f>
      </c>
    </row>
    <row r="938">
      <c r="A938" s="27">
        <f>'List Ticket'!A938</f>
      </c>
      <c r="B938" s="27">
        <f>'List Ticket'!B938</f>
      </c>
      <c r="C938" s="27">
        <f>IF('List Ticket'!C1037=1, 1, 0)</f>
      </c>
      <c r="D938" s="26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8">
        <f>SUM(C938:Z938)</f>
      </c>
    </row>
    <row r="939">
      <c r="A939" s="27">
        <f>'List Ticket'!A939</f>
      </c>
      <c r="B939" s="27">
        <f>'List Ticket'!B939</f>
      </c>
      <c r="C939" s="27">
        <f>IF('List Ticket'!C1038=1, 1, 0)</f>
      </c>
      <c r="D939" s="26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8">
        <f>SUM(C939:Z939)</f>
      </c>
    </row>
    <row r="940">
      <c r="A940" s="27">
        <f>'List Ticket'!A940</f>
      </c>
      <c r="B940" s="27">
        <f>'List Ticket'!B940</f>
      </c>
      <c r="C940" s="27">
        <f>IF('List Ticket'!C1039=1, 1, 0)</f>
      </c>
      <c r="D940" s="26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8">
        <f>SUM(C940:Z940)</f>
      </c>
    </row>
    <row r="941">
      <c r="A941" s="27">
        <f>'List Ticket'!A941</f>
      </c>
      <c r="B941" s="27">
        <f>'List Ticket'!B941</f>
      </c>
      <c r="C941" s="27">
        <f>IF('List Ticket'!C1040=1, 1, 0)</f>
      </c>
      <c r="D941" s="26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8">
        <f>SUM(C941:Z941)</f>
      </c>
    </row>
    <row r="942">
      <c r="A942" s="27">
        <f>'List Ticket'!A942</f>
      </c>
      <c r="B942" s="27">
        <f>'List Ticket'!B942</f>
      </c>
      <c r="C942" s="27">
        <f>IF('List Ticket'!C1041=1, 1, 0)</f>
      </c>
      <c r="D942" s="26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8">
        <f>SUM(C942:Z942)</f>
      </c>
    </row>
    <row r="943">
      <c r="A943" s="27">
        <f>'List Ticket'!A943</f>
      </c>
      <c r="B943" s="27">
        <f>'List Ticket'!B943</f>
      </c>
      <c r="C943" s="27">
        <f>IF('List Ticket'!C1042=1, 1, 0)</f>
      </c>
      <c r="D943" s="26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8">
        <f>SUM(C943:Z943)</f>
      </c>
    </row>
    <row r="944">
      <c r="A944" s="27">
        <f>'List Ticket'!A944</f>
      </c>
      <c r="B944" s="27">
        <f>'List Ticket'!B944</f>
      </c>
      <c r="C944" s="27">
        <f>IF('List Ticket'!C1043=1, 1, 0)</f>
      </c>
      <c r="D944" s="26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8">
        <f>SUM(C944:Z944)</f>
      </c>
    </row>
    <row r="945">
      <c r="A945" s="27">
        <f>'List Ticket'!A945</f>
      </c>
      <c r="B945" s="27">
        <f>'List Ticket'!B945</f>
      </c>
      <c r="C945" s="27">
        <f>IF('List Ticket'!C1044=1, 1, 0)</f>
      </c>
      <c r="D945" s="26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8">
        <f>SUM(C945:Z945)</f>
      </c>
    </row>
    <row r="946">
      <c r="A946" s="27">
        <f>'List Ticket'!A946</f>
      </c>
      <c r="B946" s="27">
        <f>'List Ticket'!B946</f>
      </c>
      <c r="C946" s="27">
        <f>IF('List Ticket'!C1045=1, 1, 0)</f>
      </c>
      <c r="D946" s="26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8">
        <f>SUM(C946:Z946)</f>
      </c>
    </row>
    <row r="947">
      <c r="A947" s="27">
        <f>'List Ticket'!A947</f>
      </c>
      <c r="B947" s="27">
        <f>'List Ticket'!B947</f>
      </c>
      <c r="C947" s="27">
        <f>IF('List Ticket'!C1046=1, 1, 0)</f>
      </c>
      <c r="D947" s="26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8">
        <f>SUM(C947:Z947)</f>
      </c>
    </row>
    <row r="948">
      <c r="A948" s="27">
        <f>'List Ticket'!A948</f>
      </c>
      <c r="B948" s="27">
        <f>'List Ticket'!B948</f>
      </c>
      <c r="C948" s="27">
        <f>IF('List Ticket'!C1047=1, 1, 0)</f>
      </c>
      <c r="D948" s="26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8">
        <f>SUM(C948:Z948)</f>
      </c>
    </row>
    <row r="949">
      <c r="A949" s="27">
        <f>'List Ticket'!A949</f>
      </c>
      <c r="B949" s="27">
        <f>'List Ticket'!B949</f>
      </c>
      <c r="C949" s="27">
        <f>IF('List Ticket'!C1048=1, 1, 0)</f>
      </c>
      <c r="D949" s="26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8">
        <f>SUM(C949:Z949)</f>
      </c>
    </row>
    <row r="950">
      <c r="A950" s="27">
        <f>'List Ticket'!A950</f>
      </c>
      <c r="B950" s="27">
        <f>'List Ticket'!B950</f>
      </c>
      <c r="C950" s="27">
        <f>IF('List Ticket'!C1049=1, 1, 0)</f>
      </c>
      <c r="D950" s="26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8">
        <f>SUM(C950:Z950)</f>
      </c>
    </row>
    <row r="951">
      <c r="A951" s="27">
        <f>'List Ticket'!A951</f>
      </c>
      <c r="B951" s="27">
        <f>'List Ticket'!B951</f>
      </c>
      <c r="C951" s="27">
        <f>IF('List Ticket'!C1050=1, 1, 0)</f>
      </c>
      <c r="D951" s="26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8">
        <f>SUM(C951:Z951)</f>
      </c>
    </row>
    <row r="952">
      <c r="A952" s="27">
        <f>'List Ticket'!A952</f>
      </c>
      <c r="B952" s="27">
        <f>'List Ticket'!B952</f>
      </c>
      <c r="C952" s="27">
        <f>IF('List Ticket'!C1051=1, 1, 0)</f>
      </c>
      <c r="D952" s="26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8">
        <f>SUM(C952:Z952)</f>
      </c>
    </row>
    <row r="953">
      <c r="A953" s="27">
        <f>'List Ticket'!A953</f>
      </c>
      <c r="B953" s="27">
        <f>'List Ticket'!B953</f>
      </c>
      <c r="C953" s="27">
        <f>IF('List Ticket'!C1052=1, 1, 0)</f>
      </c>
      <c r="D953" s="26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8">
        <f>SUM(C953:Z953)</f>
      </c>
    </row>
    <row r="954">
      <c r="A954" s="27">
        <f>'List Ticket'!A954</f>
      </c>
      <c r="B954" s="27">
        <f>'List Ticket'!B954</f>
      </c>
      <c r="C954" s="27">
        <f>IF('List Ticket'!C1053=1, 1, 0)</f>
      </c>
      <c r="D954" s="26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8">
        <f>SUM(C954:Z954)</f>
      </c>
    </row>
    <row r="955">
      <c r="A955" s="27">
        <f>'List Ticket'!A955</f>
      </c>
      <c r="B955" s="27">
        <f>'List Ticket'!B955</f>
      </c>
      <c r="C955" s="27">
        <f>IF('List Ticket'!C1054=1, 1, 0)</f>
      </c>
      <c r="D955" s="26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8">
        <f>SUM(C955:Z955)</f>
      </c>
    </row>
    <row r="956">
      <c r="A956" s="27">
        <f>'List Ticket'!A956</f>
      </c>
      <c r="B956" s="27">
        <f>'List Ticket'!B956</f>
      </c>
      <c r="C956" s="27">
        <f>IF('List Ticket'!C1055=1, 1, 0)</f>
      </c>
      <c r="D956" s="26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8">
        <f>SUM(C956:Z956)</f>
      </c>
    </row>
    <row r="957">
      <c r="A957" s="27">
        <f>'List Ticket'!A957</f>
      </c>
      <c r="B957" s="27">
        <f>'List Ticket'!B957</f>
      </c>
      <c r="C957" s="27">
        <f>IF('List Ticket'!C1056=1, 1, 0)</f>
      </c>
      <c r="D957" s="26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8">
        <f>SUM(C957:Z957)</f>
      </c>
    </row>
    <row r="958">
      <c r="A958" s="27">
        <f>'List Ticket'!A958</f>
      </c>
      <c r="B958" s="27">
        <f>'List Ticket'!B958</f>
      </c>
      <c r="C958" s="27">
        <f>IF('List Ticket'!C1057=1, 1, 0)</f>
      </c>
      <c r="D958" s="26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8">
        <f>SUM(C958:Z958)</f>
      </c>
    </row>
    <row r="959">
      <c r="A959" s="27">
        <f>'List Ticket'!A959</f>
      </c>
      <c r="B959" s="27">
        <f>'List Ticket'!B959</f>
      </c>
      <c r="C959" s="27">
        <f>IF('List Ticket'!C1058=1, 1, 0)</f>
      </c>
      <c r="D959" s="26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8">
        <f>SUM(C959:Z959)</f>
      </c>
    </row>
    <row r="960">
      <c r="A960" s="27">
        <f>'List Ticket'!A960</f>
      </c>
      <c r="B960" s="27">
        <f>'List Ticket'!B960</f>
      </c>
      <c r="C960" s="27">
        <f>IF('List Ticket'!C1059=1, 1, 0)</f>
      </c>
      <c r="D960" s="26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8">
        <f>SUM(C960:Z960)</f>
      </c>
    </row>
    <row r="961">
      <c r="A961" s="27">
        <f>'List Ticket'!A961</f>
      </c>
      <c r="B961" s="27">
        <f>'List Ticket'!B961</f>
      </c>
      <c r="C961" s="27">
        <f>IF('List Ticket'!C1060=1, 1, 0)</f>
      </c>
      <c r="D961" s="26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8">
        <f>SUM(C961:Z961)</f>
      </c>
    </row>
    <row r="962">
      <c r="A962" s="27">
        <f>'List Ticket'!A962</f>
      </c>
      <c r="B962" s="27">
        <f>'List Ticket'!B962</f>
      </c>
      <c r="C962" s="27">
        <f>IF('List Ticket'!C1061=1, 1, 0)</f>
      </c>
      <c r="D962" s="26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8">
        <f>SUM(C962:Z962)</f>
      </c>
    </row>
    <row r="963">
      <c r="A963" s="27">
        <f>'List Ticket'!A963</f>
      </c>
      <c r="B963" s="27">
        <f>'List Ticket'!B963</f>
      </c>
      <c r="C963" s="27">
        <f>IF('List Ticket'!C1062=1, 1, 0)</f>
      </c>
      <c r="D963" s="26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8">
        <f>SUM(C963:Z963)</f>
      </c>
    </row>
    <row r="964">
      <c r="A964" s="27">
        <f>'List Ticket'!A964</f>
      </c>
      <c r="B964" s="27">
        <f>'List Ticket'!B964</f>
      </c>
      <c r="C964" s="27">
        <f>IF('List Ticket'!C1063=1, 1, 0)</f>
      </c>
      <c r="D964" s="26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8">
        <f>SUM(C964:Z964)</f>
      </c>
    </row>
    <row r="965">
      <c r="A965" s="27">
        <f>'List Ticket'!A965</f>
      </c>
      <c r="B965" s="27">
        <f>'List Ticket'!B965</f>
      </c>
      <c r="C965" s="27">
        <f>IF('List Ticket'!C1064=1, 1, 0)</f>
      </c>
      <c r="D965" s="26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8">
        <f>SUM(C965:Z965)</f>
      </c>
    </row>
    <row r="966">
      <c r="A966" s="27">
        <f>'List Ticket'!A966</f>
      </c>
      <c r="B966" s="27">
        <f>'List Ticket'!B966</f>
      </c>
      <c r="C966" s="27">
        <f>IF('List Ticket'!C1065=1, 1, 0)</f>
      </c>
      <c r="D966" s="26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8">
        <f>SUM(C966:Z966)</f>
      </c>
    </row>
    <row r="967">
      <c r="A967" s="27">
        <f>'List Ticket'!A967</f>
      </c>
      <c r="B967" s="27">
        <f>'List Ticket'!B967</f>
      </c>
      <c r="C967" s="27">
        <f>IF('List Ticket'!C1066=1, 1, 0)</f>
      </c>
      <c r="D967" s="26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8">
        <f>SUM(C967:Z967)</f>
      </c>
    </row>
    <row r="968">
      <c r="A968" s="27">
        <f>'List Ticket'!A968</f>
      </c>
      <c r="B968" s="27">
        <f>'List Ticket'!B968</f>
      </c>
      <c r="C968" s="27">
        <f>IF('List Ticket'!C1067=1, 1, 0)</f>
      </c>
      <c r="D968" s="26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8">
        <f>SUM(C968:Z968)</f>
      </c>
    </row>
    <row r="969">
      <c r="A969" s="27">
        <f>'List Ticket'!A969</f>
      </c>
      <c r="B969" s="27">
        <f>'List Ticket'!B969</f>
      </c>
      <c r="C969" s="27">
        <f>IF('List Ticket'!C1068=1, 1, 0)</f>
      </c>
      <c r="D969" s="26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8">
        <f>SUM(C969:Z969)</f>
      </c>
    </row>
    <row r="970">
      <c r="A970" s="27">
        <f>'List Ticket'!A970</f>
      </c>
      <c r="B970" s="27">
        <f>'List Ticket'!B970</f>
      </c>
      <c r="C970" s="27">
        <f>IF('List Ticket'!C1069=1, 1, 0)</f>
      </c>
      <c r="D970" s="26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8">
        <f>SUM(C970:Z970)</f>
      </c>
    </row>
    <row r="971">
      <c r="A971" s="27">
        <f>'List Ticket'!A971</f>
      </c>
      <c r="B971" s="27">
        <f>'List Ticket'!B971</f>
      </c>
      <c r="C971" s="27">
        <f>IF('List Ticket'!C1070=1, 1, 0)</f>
      </c>
      <c r="D971" s="26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8">
        <f>SUM(C971:Z971)</f>
      </c>
    </row>
    <row r="972">
      <c r="A972" s="27">
        <f>'List Ticket'!A972</f>
      </c>
      <c r="B972" s="27">
        <f>'List Ticket'!B972</f>
      </c>
      <c r="C972" s="27">
        <f>IF('List Ticket'!C1071=1, 1, 0)</f>
      </c>
      <c r="D972" s="26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8">
        <f>SUM(C972:Z972)</f>
      </c>
    </row>
    <row r="973">
      <c r="A973" s="27">
        <f>'List Ticket'!A973</f>
      </c>
      <c r="B973" s="27">
        <f>'List Ticket'!B973</f>
      </c>
      <c r="C973" s="27">
        <f>IF('List Ticket'!C1072=1, 1, 0)</f>
      </c>
      <c r="D973" s="26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8">
        <f>SUM(C973:Z973)</f>
      </c>
    </row>
    <row r="974">
      <c r="A974" s="27">
        <f>'List Ticket'!A974</f>
      </c>
      <c r="B974" s="27">
        <f>'List Ticket'!B974</f>
      </c>
      <c r="C974" s="27">
        <f>IF('List Ticket'!C1073=1, 1, 0)</f>
      </c>
      <c r="D974" s="26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8">
        <f>SUM(C974:Z974)</f>
      </c>
    </row>
    <row r="975">
      <c r="A975" s="27">
        <f>'List Ticket'!A975</f>
      </c>
      <c r="B975" s="27">
        <f>'List Ticket'!B975</f>
      </c>
      <c r="C975" s="27">
        <f>IF('List Ticket'!C1074=1, 1, 0)</f>
      </c>
      <c r="D975" s="26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8">
        <f>SUM(C975:Z975)</f>
      </c>
    </row>
    <row r="976">
      <c r="A976" s="27">
        <f>'List Ticket'!A976</f>
      </c>
      <c r="B976" s="27">
        <f>'List Ticket'!B976</f>
      </c>
      <c r="C976" s="27">
        <f>IF('List Ticket'!C1075=1, 1, 0)</f>
      </c>
      <c r="D976" s="26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8">
        <f>SUM(C976:Z976)</f>
      </c>
    </row>
    <row r="977">
      <c r="A977" s="27">
        <f>'List Ticket'!A977</f>
      </c>
      <c r="B977" s="27">
        <f>'List Ticket'!B977</f>
      </c>
      <c r="C977" s="27">
        <f>IF('List Ticket'!C1076=1, 1, 0)</f>
      </c>
      <c r="D977" s="26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8">
        <f>SUM(C977:Z977)</f>
      </c>
    </row>
    <row r="978">
      <c r="A978" s="27">
        <f>'List Ticket'!A978</f>
      </c>
      <c r="B978" s="27">
        <f>'List Ticket'!B978</f>
      </c>
      <c r="C978" s="27">
        <f>IF('List Ticket'!C1077=1, 1, 0)</f>
      </c>
      <c r="D978" s="26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8">
        <f>SUM(C978:Z978)</f>
      </c>
    </row>
    <row r="979">
      <c r="A979" s="27">
        <f>'List Ticket'!A979</f>
      </c>
      <c r="B979" s="27">
        <f>'List Ticket'!B979</f>
      </c>
      <c r="C979" s="27">
        <f>IF('List Ticket'!C1078=1, 1, 0)</f>
      </c>
      <c r="D979" s="26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8">
        <f>SUM(C979:Z979)</f>
      </c>
    </row>
    <row r="980">
      <c r="A980" s="27">
        <f>'List Ticket'!A980</f>
      </c>
      <c r="B980" s="27">
        <f>'List Ticket'!B980</f>
      </c>
      <c r="C980" s="27">
        <f>IF('List Ticket'!C1079=1, 1, 0)</f>
      </c>
      <c r="D980" s="26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8">
        <f>SUM(C980:Z980)</f>
      </c>
    </row>
    <row r="981">
      <c r="A981" s="27">
        <f>'List Ticket'!A981</f>
      </c>
      <c r="B981" s="27">
        <f>'List Ticket'!B981</f>
      </c>
      <c r="C981" s="27">
        <f>IF('List Ticket'!C1080=1, 1, 0)</f>
      </c>
      <c r="D981" s="26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8">
        <f>SUM(C981:Z981)</f>
      </c>
    </row>
    <row r="982">
      <c r="A982" s="27">
        <f>'List Ticket'!A982</f>
      </c>
      <c r="B982" s="27">
        <f>'List Ticket'!B982</f>
      </c>
      <c r="C982" s="27">
        <f>IF('List Ticket'!C1081=1, 1, 0)</f>
      </c>
      <c r="D982" s="26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8">
        <f>SUM(C982:Z982)</f>
      </c>
    </row>
    <row r="983">
      <c r="A983" s="27">
        <f>'List Ticket'!A983</f>
      </c>
      <c r="B983" s="27">
        <f>'List Ticket'!B983</f>
      </c>
      <c r="C983" s="27">
        <f>IF('List Ticket'!C1082=1, 1, 0)</f>
      </c>
      <c r="D983" s="26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8">
        <f>SUM(C983:Z983)</f>
      </c>
    </row>
    <row r="984">
      <c r="A984" s="27">
        <f>'List Ticket'!A984</f>
      </c>
      <c r="B984" s="27">
        <f>'List Ticket'!B984</f>
      </c>
      <c r="C984" s="27">
        <f>IF('List Ticket'!C1083=1, 1, 0)</f>
      </c>
      <c r="D984" s="26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8">
        <f>SUM(C984:Z984)</f>
      </c>
    </row>
    <row r="985">
      <c r="A985" s="27">
        <f>'List Ticket'!A985</f>
      </c>
      <c r="B985" s="27">
        <f>'List Ticket'!B985</f>
      </c>
      <c r="C985" s="27">
        <f>IF('List Ticket'!C1084=1, 1, 0)</f>
      </c>
      <c r="D985" s="26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8">
        <f>SUM(C985:Z985)</f>
      </c>
    </row>
    <row r="986">
      <c r="A986" s="27">
        <f>'List Ticket'!A986</f>
      </c>
      <c r="B986" s="27">
        <f>'List Ticket'!B986</f>
      </c>
      <c r="C986" s="27">
        <f>IF('List Ticket'!C1085=1, 1, 0)</f>
      </c>
      <c r="D986" s="26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8">
        <f>SUM(C986:Z986)</f>
      </c>
    </row>
    <row r="987">
      <c r="A987" s="27">
        <f>'List Ticket'!A987</f>
      </c>
      <c r="B987" s="27">
        <f>'List Ticket'!B987</f>
      </c>
      <c r="C987" s="27">
        <f>IF('List Ticket'!C1086=1, 1, 0)</f>
      </c>
      <c r="D987" s="26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8">
        <f>SUM(C987:Z987)</f>
      </c>
    </row>
    <row r="988">
      <c r="A988" s="27">
        <f>'List Ticket'!A988</f>
      </c>
      <c r="B988" s="27">
        <f>'List Ticket'!B988</f>
      </c>
      <c r="C988" s="27">
        <f>IF('List Ticket'!C1087=1, 1, 0)</f>
      </c>
      <c r="D988" s="26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8">
        <f>SUM(C988:Z988)</f>
      </c>
    </row>
    <row r="989">
      <c r="A989" s="27">
        <f>'List Ticket'!A989</f>
      </c>
      <c r="B989" s="27">
        <f>'List Ticket'!B989</f>
      </c>
      <c r="C989" s="27">
        <f>IF('List Ticket'!C1088=1, 1, 0)</f>
      </c>
      <c r="D989" s="26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8">
        <f>SUM(C989:Z989)</f>
      </c>
    </row>
    <row r="990">
      <c r="A990" s="27">
        <f>'List Ticket'!A990</f>
      </c>
      <c r="B990" s="27">
        <f>'List Ticket'!B990</f>
      </c>
      <c r="C990" s="27">
        <f>IF('List Ticket'!C1089=1, 1, 0)</f>
      </c>
      <c r="D990" s="26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8">
        <f>SUM(C990:Z990)</f>
      </c>
    </row>
    <row r="991">
      <c r="A991" s="27">
        <f>'List Ticket'!A991</f>
      </c>
      <c r="B991" s="27">
        <f>'List Ticket'!B991</f>
      </c>
      <c r="C991" s="27">
        <f>IF('List Ticket'!C1090=1, 1, 0)</f>
      </c>
      <c r="D991" s="26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8">
        <f>SUM(C991:Z991)</f>
      </c>
    </row>
    <row r="992">
      <c r="A992" s="27">
        <f>'List Ticket'!A992</f>
      </c>
      <c r="B992" s="27">
        <f>'List Ticket'!B992</f>
      </c>
      <c r="C992" s="27">
        <f>IF('List Ticket'!C1091=1, 1, 0)</f>
      </c>
      <c r="D992" s="26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8">
        <f>SUM(C992:Z992)</f>
      </c>
    </row>
    <row r="993">
      <c r="A993" s="27">
        <f>'List Ticket'!A993</f>
      </c>
      <c r="B993" s="27">
        <f>'List Ticket'!B993</f>
      </c>
      <c r="C993" s="27">
        <f>IF('List Ticket'!C1092=1, 1, 0)</f>
      </c>
      <c r="D993" s="26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8">
        <f>SUM(C993:Z993)</f>
      </c>
    </row>
    <row r="994">
      <c r="A994" s="27">
        <f>'List Ticket'!A994</f>
      </c>
      <c r="B994" s="27">
        <f>'List Ticket'!B994</f>
      </c>
      <c r="C994" s="27">
        <f>IF('List Ticket'!C1093=1, 1, 0)</f>
      </c>
      <c r="D994" s="26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8">
        <f>SUM(C994:Z994)</f>
      </c>
    </row>
    <row r="995">
      <c r="A995" s="27">
        <f>'List Ticket'!A995</f>
      </c>
      <c r="B995" s="27">
        <f>'List Ticket'!B995</f>
      </c>
      <c r="C995" s="27">
        <f>IF('List Ticket'!C1094=1, 1, 0)</f>
      </c>
      <c r="D995" s="26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8">
        <f>SUM(C995:Z995)</f>
      </c>
    </row>
    <row r="996">
      <c r="A996" s="27">
        <f>'List Ticket'!A996</f>
      </c>
      <c r="B996" s="27">
        <f>'List Ticket'!B996</f>
      </c>
      <c r="C996" s="27">
        <f>IF('List Ticket'!C1095=1, 1, 0)</f>
      </c>
      <c r="D996" s="26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8">
        <f>SUM(C996:Z996)</f>
      </c>
    </row>
    <row r="997">
      <c r="A997" s="27">
        <f>'List Ticket'!A997</f>
      </c>
      <c r="B997" s="27">
        <f>'List Ticket'!B997</f>
      </c>
      <c r="C997" s="27">
        <f>IF('List Ticket'!C1096=1, 1, 0)</f>
      </c>
      <c r="D997" s="26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8">
        <f>SUM(C997:Z997)</f>
      </c>
    </row>
    <row r="998">
      <c r="A998" s="27">
        <f>'List Ticket'!A998</f>
      </c>
      <c r="B998" s="27">
        <f>'List Ticket'!B998</f>
      </c>
      <c r="C998" s="27">
        <f>IF('List Ticket'!C1097=1, 1, 0)</f>
      </c>
      <c r="D998" s="26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8">
        <f>SUM(C998:Z998)</f>
      </c>
    </row>
    <row r="999">
      <c r="A999" s="27">
        <f>'List Ticket'!A999</f>
      </c>
      <c r="B999" s="27">
        <f>'List Ticket'!B999</f>
      </c>
      <c r="C999" s="27">
        <f>IF('List Ticket'!C1098=1, 1, 0)</f>
      </c>
      <c r="D999" s="26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8">
        <f>SUM(C999:Z999)</f>
      </c>
    </row>
    <row r="1000">
      <c r="A1000" s="27">
        <f>'List Ticket'!A1000</f>
      </c>
      <c r="B1000" s="27">
        <f>'List Ticket'!B1000</f>
      </c>
      <c r="C1000" s="27">
        <f>IF('List Ticket'!C1099=1, 1, 0)</f>
      </c>
      <c r="D1000" s="26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8">
        <f>SUM(C1000:Z1000)</f>
      </c>
    </row>
    <row r="1001">
      <c r="A1001" s="27">
        <f>'List Ticket'!A1001</f>
      </c>
      <c r="B1001" s="27">
        <f>'List Ticket'!B1001</f>
      </c>
      <c r="C1001" s="27">
        <f>IF('List Ticket'!C1100=1, 1, 0)</f>
      </c>
      <c r="D1001" s="26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8">
        <f>SUM(C1001:Z1001)</f>
      </c>
    </row>
    <row r="1002">
      <c r="A1002" s="27">
        <f>'List Ticket'!A1002</f>
      </c>
      <c r="B1002" s="27">
        <f>'List Ticket'!B1002</f>
      </c>
      <c r="C1002" s="27">
        <f>IF('List Ticket'!C1101=1, 1, 0)</f>
      </c>
      <c r="D1002" s="26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8">
        <f>SUM(C1002:Z1002)</f>
      </c>
    </row>
    <row r="1003">
      <c r="A1003" s="27">
        <f>'List Ticket'!A1003</f>
      </c>
      <c r="B1003" s="27">
        <f>'List Ticket'!B1003</f>
      </c>
      <c r="C1003" s="27">
        <f>IF('List Ticket'!C1102=1, 1, 0)</f>
      </c>
      <c r="D1003" s="26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8">
        <f>SUM(C1003:Z1003)</f>
      </c>
    </row>
    <row r="1004">
      <c r="A1004" s="27">
        <f>'List Ticket'!A1004</f>
      </c>
      <c r="B1004" s="27">
        <f>'List Ticket'!B1004</f>
      </c>
      <c r="C1004" s="27">
        <f>IF('List Ticket'!C1103=1, 1, 0)</f>
      </c>
      <c r="D1004" s="26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8">
        <f>SUM(C1004:Z1004)</f>
      </c>
    </row>
    <row r="1005">
      <c r="A1005" s="27">
        <f>'List Ticket'!A1005</f>
      </c>
      <c r="B1005" s="27">
        <f>'List Ticket'!B1005</f>
      </c>
      <c r="C1005" s="27">
        <f>IF('List Ticket'!C1104=1, 1, 0)</f>
      </c>
      <c r="D1005" s="26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8">
        <f>SUM(C1005:Z1005)</f>
      </c>
    </row>
    <row r="1006">
      <c r="A1006" s="27">
        <f>'List Ticket'!A1006</f>
      </c>
      <c r="B1006" s="27">
        <f>'List Ticket'!B1006</f>
      </c>
      <c r="C1006" s="27">
        <f>IF('List Ticket'!C1105=1, 1, 0)</f>
      </c>
      <c r="D1006" s="26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8">
        <f>SUM(C1006:Z1006)</f>
      </c>
    </row>
    <row r="1007">
      <c r="A1007" s="27">
        <f>'List Ticket'!A1007</f>
      </c>
      <c r="B1007" s="27">
        <f>'List Ticket'!B1007</f>
      </c>
      <c r="C1007" s="27">
        <f>IF('List Ticket'!C1106=1, 1, 0)</f>
      </c>
      <c r="D1007" s="26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8">
        <f>SUM(C1007:Z1007)</f>
      </c>
    </row>
    <row r="1008">
      <c r="A1008" s="27">
        <f>'List Ticket'!A1008</f>
      </c>
      <c r="B1008" s="27">
        <f>'List Ticket'!B1008</f>
      </c>
      <c r="C1008" s="27">
        <f>IF('List Ticket'!C1107=1, 1, 0)</f>
      </c>
      <c r="D1008" s="26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8">
        <f>SUM(C1008:Z1008)</f>
      </c>
    </row>
    <row r="1009">
      <c r="A1009" s="27">
        <f>'List Ticket'!A1009</f>
      </c>
      <c r="B1009" s="27">
        <f>'List Ticket'!B1009</f>
      </c>
      <c r="C1009" s="27">
        <f>IF('List Ticket'!C1108=1, 1, 0)</f>
      </c>
      <c r="D1009" s="26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8">
        <f>SUM(C1009:Z1009)</f>
      </c>
    </row>
    <row r="1010">
      <c r="A1010" s="27">
        <f>'List Ticket'!A1010</f>
      </c>
      <c r="B1010" s="27">
        <f>'List Ticket'!B1010</f>
      </c>
      <c r="C1010" s="27">
        <f>IF('List Ticket'!C1109=1, 1, 0)</f>
      </c>
      <c r="D1010" s="26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8">
        <f>SUM(C1010:Z1010)</f>
      </c>
    </row>
    <row r="1011">
      <c r="A1011" s="27">
        <f>'List Ticket'!A1011</f>
      </c>
      <c r="B1011" s="27">
        <f>'List Ticket'!B1011</f>
      </c>
      <c r="C1011" s="27">
        <f>IF('List Ticket'!C1110=1, 1, 0)</f>
      </c>
      <c r="D1011" s="26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8">
        <f>SUM(C1011:Z1011)</f>
      </c>
    </row>
    <row r="1012">
      <c r="A1012" s="27">
        <f>'List Ticket'!A1012</f>
      </c>
      <c r="B1012" s="27">
        <f>'List Ticket'!B1012</f>
      </c>
      <c r="C1012" s="27">
        <f>IF('List Ticket'!C1111=1, 1, 0)</f>
      </c>
      <c r="D1012" s="26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8">
        <f>SUM(C1012:Z1012)</f>
      </c>
    </row>
    <row r="1013">
      <c r="A1013" s="27">
        <f>'List Ticket'!A1013</f>
      </c>
      <c r="B1013" s="27">
        <f>'List Ticket'!B1013</f>
      </c>
      <c r="C1013" s="27">
        <f>IF('List Ticket'!C1112=1, 1, 0)</f>
      </c>
      <c r="D1013" s="26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8">
        <f>SUM(C1013:Z1013)</f>
      </c>
    </row>
    <row r="1014">
      <c r="A1014" s="27">
        <f>'List Ticket'!A1014</f>
      </c>
      <c r="B1014" s="27">
        <f>'List Ticket'!B1014</f>
      </c>
      <c r="C1014" s="27">
        <f>IF('List Ticket'!C1113=1, 1, 0)</f>
      </c>
      <c r="D1014" s="26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8">
        <f>SUM(C1014:Z1014)</f>
      </c>
    </row>
    <row r="1015">
      <c r="A1015" s="27">
        <f>'List Ticket'!A1015</f>
      </c>
      <c r="B1015" s="27">
        <f>'List Ticket'!B1015</f>
      </c>
      <c r="C1015" s="27">
        <f>IF('List Ticket'!C1114=1, 1, 0)</f>
      </c>
      <c r="D1015" s="26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8">
        <f>SUM(C1015:Z1015)</f>
      </c>
    </row>
    <row r="1016">
      <c r="A1016" s="27">
        <f>'List Ticket'!A1016</f>
      </c>
      <c r="B1016" s="27">
        <f>'List Ticket'!B1016</f>
      </c>
      <c r="C1016" s="27">
        <f>IF('List Ticket'!C1115=1, 1, 0)</f>
      </c>
      <c r="D1016" s="26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8">
        <f>SUM(C1016:Z1016)</f>
      </c>
    </row>
    <row r="1017">
      <c r="A1017" s="27">
        <f>'List Ticket'!A1017</f>
      </c>
      <c r="B1017" s="27">
        <f>'List Ticket'!B1017</f>
      </c>
      <c r="C1017" s="27">
        <f>IF('List Ticket'!C1116=1, 1, 0)</f>
      </c>
      <c r="D1017" s="26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8">
        <f>SUM(C1017:Z1017)</f>
      </c>
    </row>
    <row r="1018">
      <c r="A1018" s="27">
        <f>'List Ticket'!A1018</f>
      </c>
      <c r="B1018" s="27">
        <f>'List Ticket'!B1018</f>
      </c>
      <c r="C1018" s="27">
        <f>IF('List Ticket'!C1117=1, 1, 0)</f>
      </c>
      <c r="D1018" s="26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8">
        <f>SUM(C1018:Z1018)</f>
      </c>
    </row>
    <row r="1019">
      <c r="A1019" s="27">
        <f>'List Ticket'!A1019</f>
      </c>
      <c r="B1019" s="27">
        <f>'List Ticket'!B1019</f>
      </c>
      <c r="C1019" s="27">
        <f>IF('List Ticket'!C1118=1, 1, 0)</f>
      </c>
      <c r="D1019" s="26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8">
        <f>SUM(C1019:Z1019)</f>
      </c>
    </row>
    <row r="1020">
      <c r="A1020" s="27">
        <f>'List Ticket'!A1020</f>
      </c>
      <c r="B1020" s="27">
        <f>'List Ticket'!B1020</f>
      </c>
      <c r="C1020" s="27">
        <f>IF('List Ticket'!C1119=1, 1, 0)</f>
      </c>
      <c r="D1020" s="26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8">
        <f>SUM(C1020:Z1020)</f>
      </c>
    </row>
    <row r="1021">
      <c r="A1021" s="27">
        <f>'List Ticket'!A1021</f>
      </c>
      <c r="B1021" s="27">
        <f>'List Ticket'!B1021</f>
      </c>
      <c r="C1021" s="27">
        <f>IF('List Ticket'!C1120=1, 1, 0)</f>
      </c>
      <c r="D1021" s="26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8">
        <f>SUM(C1021:Z1021)</f>
      </c>
    </row>
    <row r="1022">
      <c r="A1022" s="27">
        <f>'List Ticket'!A1022</f>
      </c>
      <c r="B1022" s="27">
        <f>'List Ticket'!B1022</f>
      </c>
      <c r="C1022" s="27">
        <f>IF('List Ticket'!C1121=1, 1, 0)</f>
      </c>
      <c r="D1022" s="26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8">
        <f>SUM(C1022:Z1022)</f>
      </c>
    </row>
    <row r="1023">
      <c r="A1023" s="27">
        <f>'List Ticket'!A1023</f>
      </c>
      <c r="B1023" s="27">
        <f>'List Ticket'!B1023</f>
      </c>
      <c r="C1023" s="27">
        <f>IF('List Ticket'!C1122=1, 1, 0)</f>
      </c>
      <c r="D1023" s="26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8">
        <f>SUM(C1023:Z1023)</f>
      </c>
    </row>
    <row r="1024">
      <c r="A1024" s="27">
        <f>'List Ticket'!A1024</f>
      </c>
      <c r="B1024" s="27">
        <f>'List Ticket'!B1024</f>
      </c>
      <c r="C1024" s="27">
        <f>IF('List Ticket'!C1123=1, 1, 0)</f>
      </c>
      <c r="D1024" s="26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8">
        <f>SUM(C1024:Z1024)</f>
      </c>
    </row>
    <row r="1025">
      <c r="A1025" s="27">
        <f>'List Ticket'!A1025</f>
      </c>
      <c r="B1025" s="27">
        <f>'List Ticket'!B1025</f>
      </c>
      <c r="C1025" s="27">
        <f>IF('List Ticket'!C1124=1, 1, 0)</f>
      </c>
      <c r="D1025" s="26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8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