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<sst xmlns="http://schemas.openxmlformats.org/spreadsheetml/2006/main" count="1" uniqueCount="1">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</sst>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/>
    </xf>
    <xf applyAlignment="true" applyBorder="false" applyFill="true" applyFont="true" applyNumberFormat="false" applyProtection="false" borderId="2" fillId="3" fontId="1" numFmtId="0" xfId="0">
      <alignment horizontal="center" vertical="center" wrapText="true"/>
    </xf>
    <xf applyAlignment="true" applyBorder="false" applyFill="true" applyFont="true" applyNumberFormat="false" applyProtection="false" borderId="3" fillId="4" fontId="2" numFmtId="0" xfId="0">
      <alignment horizontal="center" vertical="center" wrapText="true"/>
    </xf>
    <xf applyAlignment="true" applyBorder="false" applyFill="true" applyFont="true" applyNumberFormat="false" applyProtection="false" borderId="4" fillId="5" fontId="3" numFmtId="0" xfId="0">
      <alignment vertical="center"/>
    </xf>
    <xf applyAlignment="true" applyBorder="false" applyFill="true" applyFont="true" applyNumberFormat="false" applyProtection="false" borderId="5" fillId="6" fontId="4" numFmtId="0" xfId="0">
      <alignment horizontal="center" vertical="center"/>
    </xf>
    <xf applyAlignment="true" applyBorder="false" applyFill="true" applyFont="true" applyNumberFormat="false" applyProtection="false" borderId="6" fillId="7" fontId="5" numFmtId="0" xfId="0">
      <alignment horizontal="center" vertical="center" wrapText="true"/>
    </xf>
    <xf applyAlignment="true" applyBorder="false" applyFill="true" applyFont="true" applyNumberFormat="false" applyProtection="false" borderId="7" fillId="8" fontId="6" numFmtId="0" xfId="0">
      <alignment horizontal="center" vertical="center" wrapText="true"/>
    </xf>
    <xf applyAlignment="true" applyBorder="false" applyFill="true" applyFont="true" applyNumberFormat="false" applyProtection="false" borderId="8" fillId="9" fontId="7" numFmtId="0" xfId="0">
      <alignment horizontal="center" vertical="center" wrapText="true"/>
    </xf>
    <xf applyAlignment="true" applyBorder="false" applyFill="false" applyFont="true" applyNumberFormat="false" applyProtection="false" borderId="9" fillId="0" fontId="8" numFmtId="0" xfId="0">
      <alignment vertical="center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4" numFmtId="0" xfId="0">
      <alignment vertical="center"/>
    </xf>
    <xf applyAlignment="true" applyBorder="false" applyFill="true" applyFont="true" applyNumberFormat="false" applyProtection="false" borderId="13" fillId="13" fontId="10" numFmtId="0" xfId="0">
      <alignment horizontal="left" vertical="bottom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true" applyProtection="false" borderId="22" fillId="22" fontId="14" numFmtId="164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4" numFmtId="0" xfId="0">
      <alignment horizontal="center" vertical="center"/>
    </xf>
    <xf applyAlignment="true" applyBorder="false" applyFill="true" applyFont="true" applyNumberFormat="false" applyProtection="false" borderId="26" fillId="26" fontId="9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9" numFmtId="0" xfId="0">
      <alignment horizontal="center" vertical="center" wrapText="true"/>
    </xf>
    <xf applyAlignment="true" applyBorder="false" applyFill="true" applyFont="true" applyNumberFormat="false" applyProtection="false" borderId="29" fillId="29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9" t="str">
        <v>MEMBER</v>
      </c>
      <c r="B2" s="19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Total
Tiket</v>
      </c>
      <c r="AB2" s="23" t="str">
        <v>Streak
(manual)</v>
      </c>
      <c r="AC2" s="21" t="str">
        <v>x5 Streak
Bonus</v>
      </c>
      <c r="AD2" s="21" t="str">
        <v>x10 Streak
Bonus</v>
      </c>
      <c r="AE2" s="20" t="str">
        <v>Total
Bonus</v>
      </c>
    </row>
    <row r="3">
      <c r="A3" s="19"/>
      <c r="B3" s="19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18"/>
      <c r="AB3" s="17"/>
      <c r="AC3" s="21"/>
      <c r="AD3" s="21"/>
      <c r="AE3" s="20"/>
    </row>
    <row r="4">
      <c r="A4" s="13" t="str">
        <v>
</v>
      </c>
      <c r="B4" s="15" t="str">
        <v>TOTAL</v>
      </c>
      <c r="C4" s="14">
        <f>SUM(C5:C204)</f>
      </c>
      <c r="D4" s="14">
        <f>SUM(D5:D204)</f>
      </c>
      <c r="E4" s="14">
        <f>SUM(E5:E204)</f>
      </c>
      <c r="F4" s="14">
        <f>SUM(F5:F204)</f>
      </c>
      <c r="G4" s="14">
        <f>SUM(G5:G204)</f>
      </c>
      <c r="H4" s="14">
        <f>SUM(H5:H204)</f>
      </c>
      <c r="I4" s="14">
        <f>SUM(I5:I204)</f>
      </c>
      <c r="J4" s="14">
        <f>SUM(J5:J204)</f>
      </c>
      <c r="K4" s="14">
        <f>SUM(K5:K204)</f>
      </c>
      <c r="L4" s="14">
        <f>SUM(L5:L204)</f>
      </c>
      <c r="M4" s="14">
        <f>SUM(M5:M204)</f>
      </c>
      <c r="N4" s="14">
        <f>SUM(N5:N204)</f>
      </c>
      <c r="O4" s="14">
        <f>SUM(O5:O204)</f>
      </c>
      <c r="P4" s="14">
        <f>SUM(P5:P204)</f>
      </c>
      <c r="Q4" s="14">
        <f>SUM(Q5:Q204)</f>
      </c>
      <c r="R4" s="14">
        <f>SUM(R5:R204)</f>
      </c>
      <c r="S4" s="14">
        <f>SUM(S5:S204)</f>
      </c>
      <c r="T4" s="14">
        <f>SUM(T5:T204)</f>
      </c>
      <c r="U4" s="14">
        <f>SUM(U5:U204)</f>
      </c>
      <c r="V4" s="14">
        <f>SUM(V5:V204)</f>
      </c>
      <c r="W4" s="14">
        <f>SUM(W5:W204)</f>
      </c>
      <c r="X4" s="14">
        <f>SUM(X5:X204)</f>
      </c>
      <c r="Y4" s="14">
        <f>SUM(Y5:Y204)</f>
      </c>
      <c r="Z4" s="14">
        <f>SUM(Z5:Z204)</f>
      </c>
      <c r="AA4" s="14">
        <f>SUM(AA5:AA204)</f>
      </c>
      <c r="AB4" s="14">
        <f>SUM(AB5:AB204)</f>
      </c>
      <c r="AC4" s="14">
        <f>SUM(AC5:AC204)</f>
      </c>
      <c r="AD4" s="14">
        <f>SUM(AD5:AD204)</f>
      </c>
      <c r="AE4" s="14">
        <f>SUM(AE5:AE204)</f>
      </c>
    </row>
    <row r="5">
      <c r="A5" s="11">
        <v>1</v>
      </c>
      <c r="B5" s="10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7">
        <f>(SUM(C5:Z5))+AE5</f>
      </c>
      <c r="AB5" s="6">
        <v>0</v>
      </c>
      <c r="AC5" s="8">
        <f>MIN(3, SUMPRODUCT((MOD(Streak!C5:Z5,5)=0)*(MOD(Streak!C5:Z5,10)&lt;&gt;0)*(Streak!C5:Z5&gt;0))) * 5</f>
      </c>
      <c r="AD5" s="8">
        <f>MIN(2, SUMPRODUCT((MOD(Streak!C5:Z5,10)=0)*(Streak!C5:Z5&gt;0))) * 20</f>
      </c>
      <c r="AE5" s="3">
        <f>SUM(AC5:AD5)</f>
      </c>
    </row>
    <row r="6">
      <c r="A6" s="11">
        <v>2</v>
      </c>
      <c r="B6" s="10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7">
        <f>(SUM(C6:Z6))+AE6</f>
      </c>
      <c r="AB6" s="6">
        <v>0</v>
      </c>
      <c r="AC6" s="8">
        <f>MIN(3, SUMPRODUCT((MOD(Streak!C6:Z6,5)=0)*(MOD(Streak!C6:Z6,10)&lt;&gt;0)*(Streak!C6:Z6&gt;0))) * 5</f>
      </c>
      <c r="AD6" s="8">
        <f>MIN(2, SUMPRODUCT((MOD(Streak!C6:Z6,10)=0)*(Streak!C6:Z6&gt;0))) * 20</f>
      </c>
      <c r="AE6" s="3">
        <f>SUM(AC6:AD6)</f>
      </c>
    </row>
    <row r="7">
      <c r="A7" s="11">
        <v>3</v>
      </c>
      <c r="B7" s="10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1</v>
      </c>
      <c r="T7" s="2">
        <v>1</v>
      </c>
      <c r="U7" s="2">
        <v>1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7">
        <f>(SUM(C7:Z7))+AE7</f>
      </c>
      <c r="AB7" s="6">
        <v>0</v>
      </c>
      <c r="AC7" s="8">
        <f>MIN(3, SUMPRODUCT((MOD(Streak!C7:Z7,5)=0)*(MOD(Streak!C7:Z7,10)&lt;&gt;0)*(Streak!C7:Z7&gt;0))) * 5</f>
      </c>
      <c r="AD7" s="8">
        <f>MIN(2, SUMPRODUCT((MOD(Streak!C7:Z7,10)=0)*(Streak!C7:Z7&gt;0))) * 20</f>
      </c>
      <c r="AE7" s="3">
        <f>SUM(AC7:AD7)</f>
      </c>
    </row>
    <row r="8">
      <c r="A8" s="11">
        <v>4</v>
      </c>
      <c r="B8" s="10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1</v>
      </c>
      <c r="R8" s="2">
        <v>1</v>
      </c>
      <c r="S8" s="2">
        <v>1</v>
      </c>
      <c r="T8" s="2">
        <v>1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7">
        <f>(SUM(C8:Z8))+AE8</f>
      </c>
      <c r="AB8" s="6">
        <v>0</v>
      </c>
      <c r="AC8" s="8">
        <f>MIN(3, SUMPRODUCT((MOD(Streak!C8:Z8,5)=0)*(MOD(Streak!C8:Z8,10)&lt;&gt;0)*(Streak!C8:Z8&gt;0))) * 5</f>
      </c>
      <c r="AD8" s="8">
        <f>MIN(2, SUMPRODUCT((MOD(Streak!C8:Z8,10)=0)*(Streak!C8:Z8&gt;0))) * 20</f>
      </c>
      <c r="AE8" s="3">
        <f>SUM(AC8:AD8)</f>
      </c>
    </row>
    <row r="9">
      <c r="A9" s="11">
        <v>5</v>
      </c>
      <c r="B9" s="10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1</v>
      </c>
      <c r="P9" s="2">
        <v>1</v>
      </c>
      <c r="Q9" s="2">
        <v>1</v>
      </c>
      <c r="R9" s="2">
        <v>1</v>
      </c>
      <c r="S9" s="2">
        <v>1</v>
      </c>
      <c r="T9" s="2">
        <v>1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7">
        <f>(SUM(C9:Z9))+AE9</f>
      </c>
      <c r="AB9" s="6">
        <v>0</v>
      </c>
      <c r="AC9" s="8">
        <f>MIN(3, SUMPRODUCT((MOD(Streak!C9:Z9,5)=0)*(MOD(Streak!C9:Z9,10)&lt;&gt;0)*(Streak!C9:Z9&gt;0))) * 5</f>
      </c>
      <c r="AD9" s="8">
        <f>MIN(2, SUMPRODUCT((MOD(Streak!C9:Z9,10)=0)*(Streak!C9:Z9&gt;0))) * 20</f>
      </c>
      <c r="AE9" s="3">
        <f>SUM(AC9:AD9)</f>
      </c>
    </row>
    <row r="10">
      <c r="A10" s="11">
        <v>6</v>
      </c>
      <c r="B10" s="10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>
        <v>1</v>
      </c>
      <c r="R10" s="2">
        <v>1</v>
      </c>
      <c r="S10" s="2">
        <v>1</v>
      </c>
      <c r="T10" s="2">
        <v>1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7">
        <f>(SUM(C10:Z10))+AE10</f>
      </c>
      <c r="AB10" s="6">
        <v>0</v>
      </c>
      <c r="AC10" s="8">
        <f>MIN(3, SUMPRODUCT((MOD(Streak!C10:Z10,5)=0)*(MOD(Streak!C10:Z10,10)&lt;&gt;0)*(Streak!C10:Z10&gt;0))) * 5</f>
      </c>
      <c r="AD10" s="8">
        <f>MIN(2, SUMPRODUCT((MOD(Streak!C10:Z10,10)=0)*(Streak!C10:Z10&gt;0))) * 20</f>
      </c>
      <c r="AE10" s="3">
        <f>SUM(AC10:AD10)</f>
      </c>
    </row>
    <row r="11">
      <c r="A11" s="11">
        <v>7</v>
      </c>
      <c r="B11" s="10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1</v>
      </c>
      <c r="T11" s="2">
        <v>1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7">
        <f>(SUM(C11:Z11))+AE11</f>
      </c>
      <c r="AB11" s="6">
        <v>0</v>
      </c>
      <c r="AC11" s="8">
        <f>MIN(3, SUMPRODUCT((MOD(Streak!C11:Z11,5)=0)*(MOD(Streak!C11:Z11,10)&lt;&gt;0)*(Streak!C11:Z11&gt;0))) * 5</f>
      </c>
      <c r="AD11" s="8">
        <f>MIN(2, SUMPRODUCT((MOD(Streak!C11:Z11,10)=0)*(Streak!C11:Z11&gt;0))) * 20</f>
      </c>
      <c r="AE11" s="3">
        <f>SUM(AC11:AD11)</f>
      </c>
    </row>
    <row r="12">
      <c r="A12" s="11">
        <v>8</v>
      </c>
      <c r="B12" s="10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1</v>
      </c>
      <c r="P12" s="2">
        <v>1</v>
      </c>
      <c r="Q12" s="2">
        <v>1</v>
      </c>
      <c r="R12" s="2">
        <v>1</v>
      </c>
      <c r="S12" s="2">
        <v>1</v>
      </c>
      <c r="T12" s="2">
        <v>1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7">
        <f>(SUM(C12:Z12))+AE12</f>
      </c>
      <c r="AB12" s="6">
        <v>0</v>
      </c>
      <c r="AC12" s="8">
        <f>MIN(3, SUMPRODUCT((MOD(Streak!C12:Z12,5)=0)*(MOD(Streak!C12:Z12,10)&lt;&gt;0)*(Streak!C12:Z12&gt;0))) * 5</f>
      </c>
      <c r="AD12" s="8">
        <f>MIN(2, SUMPRODUCT((MOD(Streak!C12:Z12,10)=0)*(Streak!C12:Z12&gt;0))) * 20</f>
      </c>
      <c r="AE12" s="3">
        <f>SUM(AC12:AD12)</f>
      </c>
    </row>
    <row r="13">
      <c r="A13" s="11">
        <v>9</v>
      </c>
      <c r="B13" s="10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0</v>
      </c>
      <c r="T13" s="2">
        <v>1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7">
        <f>(SUM(C13:Z13))+AE13</f>
      </c>
      <c r="AB13" s="6">
        <v>0</v>
      </c>
      <c r="AC13" s="8">
        <f>MIN(3, SUMPRODUCT((MOD(Streak!C13:Z13,5)=0)*(MOD(Streak!C13:Z13,10)&lt;&gt;0)*(Streak!C13:Z13&gt;0))) * 5</f>
      </c>
      <c r="AD13" s="8">
        <f>MIN(2, SUMPRODUCT((MOD(Streak!C13:Z13,10)=0)*(Streak!C13:Z13&gt;0))) * 20</f>
      </c>
      <c r="AE13" s="3">
        <f>SUM(AC13:AD13)</f>
      </c>
    </row>
    <row r="14">
      <c r="A14" s="11">
        <v>10</v>
      </c>
      <c r="B14" s="10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0</v>
      </c>
      <c r="R14" s="2">
        <v>1</v>
      </c>
      <c r="S14" s="2">
        <v>1</v>
      </c>
      <c r="T14" s="2">
        <v>1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7">
        <f>(SUM(C14:Z14))+AE14</f>
      </c>
      <c r="AB14" s="6">
        <v>0</v>
      </c>
      <c r="AC14" s="8">
        <f>MIN(3, SUMPRODUCT((MOD(Streak!C14:Z14,5)=0)*(MOD(Streak!C14:Z14,10)&lt;&gt;0)*(Streak!C14:Z14&gt;0))) * 5</f>
      </c>
      <c r="AD14" s="8">
        <f>MIN(2, SUMPRODUCT((MOD(Streak!C14:Z14,10)=0)*(Streak!C14:Z14&gt;0))) * 20</f>
      </c>
      <c r="AE14" s="3">
        <f>SUM(AC14:AD14)</f>
      </c>
    </row>
    <row r="15">
      <c r="A15" s="11">
        <v>11</v>
      </c>
      <c r="B15" s="10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7">
        <f>(SUM(C15:Z15))+AE15</f>
      </c>
      <c r="AB15" s="6">
        <v>0</v>
      </c>
      <c r="AC15" s="8">
        <f>MIN(3, SUMPRODUCT((MOD(Streak!C15:Z15,5)=0)*(MOD(Streak!C15:Z15,10)&lt;&gt;0)*(Streak!C15:Z15&gt;0))) * 5</f>
      </c>
      <c r="AD15" s="8">
        <f>MIN(2, SUMPRODUCT((MOD(Streak!C15:Z15,10)=0)*(Streak!C15:Z15&gt;0))) * 20</f>
      </c>
      <c r="AE15" s="3">
        <f>SUM(AC15:AD15)</f>
      </c>
    </row>
    <row r="16">
      <c r="A16" s="11">
        <v>12</v>
      </c>
      <c r="B16" s="10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7">
        <f>(SUM(C16:Z16))+AE16</f>
      </c>
      <c r="AB16" s="6">
        <v>0</v>
      </c>
      <c r="AC16" s="8">
        <f>MIN(3, SUMPRODUCT((MOD(Streak!C16:Z16,5)=0)*(MOD(Streak!C16:Z16,10)&lt;&gt;0)*(Streak!C16:Z16&gt;0))) * 5</f>
      </c>
      <c r="AD16" s="8">
        <f>MIN(2, SUMPRODUCT((MOD(Streak!C16:Z16,10)=0)*(Streak!C16:Z16&gt;0))) * 20</f>
      </c>
      <c r="AE16" s="3">
        <f>SUM(AC16:AD16)</f>
      </c>
    </row>
    <row r="17">
      <c r="A17" s="11">
        <v>13</v>
      </c>
      <c r="B17" s="10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7">
        <f>(SUM(C17:Z17))+AE17</f>
      </c>
      <c r="AB17" s="6">
        <v>0</v>
      </c>
      <c r="AC17" s="8">
        <f>MIN(3, SUMPRODUCT((MOD(Streak!C17:Z17,5)=0)*(MOD(Streak!C17:Z17,10)&lt;&gt;0)*(Streak!C17:Z17&gt;0))) * 5</f>
      </c>
      <c r="AD17" s="8">
        <f>MIN(2, SUMPRODUCT((MOD(Streak!C17:Z17,10)=0)*(Streak!C17:Z17&gt;0))) * 20</f>
      </c>
      <c r="AE17" s="3">
        <f>SUM(AC17:AD17)</f>
      </c>
    </row>
    <row r="18">
      <c r="A18" s="11">
        <v>14</v>
      </c>
      <c r="B18" s="10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 s="2">
        <v>1</v>
      </c>
      <c r="R18" s="2">
        <v>1</v>
      </c>
      <c r="S18" s="2">
        <v>1</v>
      </c>
      <c r="T18" s="2">
        <v>1</v>
      </c>
      <c r="U18" s="2">
        <v>1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7">
        <f>(SUM(C18:Z18))+AE18</f>
      </c>
      <c r="AB18" s="6">
        <v>0</v>
      </c>
      <c r="AC18" s="8">
        <f>MIN(3, SUMPRODUCT((MOD(Streak!C18:Z18,5)=0)*(MOD(Streak!C18:Z18,10)&lt;&gt;0)*(Streak!C18:Z18&gt;0))) * 5</f>
      </c>
      <c r="AD18" s="8">
        <f>MIN(2, SUMPRODUCT((MOD(Streak!C18:Z18,10)=0)*(Streak!C18:Z18&gt;0))) * 20</f>
      </c>
      <c r="AE18" s="3">
        <f>SUM(AC18:AD18)</f>
      </c>
    </row>
    <row r="19">
      <c r="A19" s="11">
        <v>15</v>
      </c>
      <c r="B19" s="10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1</v>
      </c>
      <c r="O19" s="2">
        <v>1</v>
      </c>
      <c r="P19" s="2">
        <v>0</v>
      </c>
      <c r="Q19" s="2">
        <v>0</v>
      </c>
      <c r="R19" s="2">
        <v>0</v>
      </c>
      <c r="S19" s="2">
        <v>1</v>
      </c>
      <c r="T19" s="2">
        <v>1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7">
        <f>(SUM(C19:Z19))+AE19</f>
      </c>
      <c r="AB19" s="6">
        <v>0</v>
      </c>
      <c r="AC19" s="8">
        <f>MIN(3, SUMPRODUCT((MOD(Streak!C19:Z19,5)=0)*(MOD(Streak!C19:Z19,10)&lt;&gt;0)*(Streak!C19:Z19&gt;0))) * 5</f>
      </c>
      <c r="AD19" s="8">
        <f>MIN(2, SUMPRODUCT((MOD(Streak!C19:Z19,10)=0)*(Streak!C19:Z19&gt;0))) * 20</f>
      </c>
      <c r="AE19" s="3">
        <f>SUM(AC19:AD19)</f>
      </c>
    </row>
    <row r="20">
      <c r="A20" s="11">
        <v>16</v>
      </c>
      <c r="B20" s="10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1</v>
      </c>
      <c r="O20" s="2">
        <v>1</v>
      </c>
      <c r="P20" s="2">
        <v>0</v>
      </c>
      <c r="Q20" s="2">
        <v>0</v>
      </c>
      <c r="R20" s="2">
        <v>0</v>
      </c>
      <c r="S20" s="2">
        <v>1</v>
      </c>
      <c r="T20" s="2">
        <v>1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7">
        <f>(SUM(C20:Z20))+AE20</f>
      </c>
      <c r="AB20" s="6">
        <v>0</v>
      </c>
      <c r="AC20" s="8">
        <f>MIN(3, SUMPRODUCT((MOD(Streak!C20:Z20,5)=0)*(MOD(Streak!C20:Z20,10)&lt;&gt;0)*(Streak!C20:Z20&gt;0))) * 5</f>
      </c>
      <c r="AD20" s="8">
        <f>MIN(2, SUMPRODUCT((MOD(Streak!C20:Z20,10)=0)*(Streak!C20:Z20&gt;0))) * 20</f>
      </c>
      <c r="AE20" s="3">
        <f>SUM(AC20:AD20)</f>
      </c>
    </row>
    <row r="21">
      <c r="A21" s="11">
        <v>17</v>
      </c>
      <c r="B21" s="10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7">
        <f>(SUM(C21:Z21))+AE21</f>
      </c>
      <c r="AB21" s="6">
        <v>0</v>
      </c>
      <c r="AC21" s="8">
        <f>MIN(3, SUMPRODUCT((MOD(Streak!C21:Z21,5)=0)*(MOD(Streak!C21:Z21,10)&lt;&gt;0)*(Streak!C21:Z21&gt;0))) * 5</f>
      </c>
      <c r="AD21" s="8">
        <f>MIN(2, SUMPRODUCT((MOD(Streak!C21:Z21,10)=0)*(Streak!C21:Z21&gt;0))) * 20</f>
      </c>
      <c r="AE21" s="3">
        <f>SUM(AC21:AD21)</f>
      </c>
    </row>
    <row r="22">
      <c r="A22" s="11">
        <v>18</v>
      </c>
      <c r="B22" s="10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7">
        <f>(SUM(C22:Z22))+AE22</f>
      </c>
      <c r="AB22" s="6">
        <v>0</v>
      </c>
      <c r="AC22" s="8">
        <f>MIN(3, SUMPRODUCT((MOD(Streak!C22:Z22,5)=0)*(MOD(Streak!C22:Z22,10)&lt;&gt;0)*(Streak!C22:Z22&gt;0))) * 5</f>
      </c>
      <c r="AD22" s="8">
        <f>MIN(2, SUMPRODUCT((MOD(Streak!C22:Z22,10)=0)*(Streak!C22:Z22&gt;0))) * 20</f>
      </c>
      <c r="AE22" s="3">
        <f>SUM(AC22:AD22)</f>
      </c>
    </row>
    <row r="23">
      <c r="A23" s="11">
        <v>19</v>
      </c>
      <c r="B23" s="10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1</v>
      </c>
      <c r="O23" s="2">
        <v>0</v>
      </c>
      <c r="P23" s="2">
        <v>1</v>
      </c>
      <c r="Q23" s="2">
        <v>0</v>
      </c>
      <c r="R23" s="2">
        <v>0</v>
      </c>
      <c r="S23" s="2">
        <v>0</v>
      </c>
      <c r="T23" s="2">
        <v>1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7">
        <f>(SUM(C23:Z23))+AE23</f>
      </c>
      <c r="AB23" s="6">
        <v>0</v>
      </c>
      <c r="AC23" s="8">
        <f>MIN(3, SUMPRODUCT((MOD(Streak!C23:Z23,5)=0)*(MOD(Streak!C23:Z23,10)&lt;&gt;0)*(Streak!C23:Z23&gt;0))) * 5</f>
      </c>
      <c r="AD23" s="8">
        <f>MIN(2, SUMPRODUCT((MOD(Streak!C23:Z23,10)=0)*(Streak!C23:Z23&gt;0))) * 20</f>
      </c>
      <c r="AE23" s="3">
        <f>SUM(AC23:AD23)</f>
      </c>
    </row>
    <row r="24">
      <c r="A24" s="11">
        <v>20</v>
      </c>
      <c r="B24" s="10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0</v>
      </c>
      <c r="S24" s="2">
        <v>1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7">
        <f>(SUM(C24:Z24))+AE24</f>
      </c>
      <c r="AB24" s="6">
        <v>0</v>
      </c>
      <c r="AC24" s="8">
        <f>MIN(3, SUMPRODUCT((MOD(Streak!C24:Z24,5)=0)*(MOD(Streak!C24:Z24,10)&lt;&gt;0)*(Streak!C24:Z24&gt;0))) * 5</f>
      </c>
      <c r="AD24" s="8">
        <f>MIN(2, SUMPRODUCT((MOD(Streak!C24:Z24,10)=0)*(Streak!C24:Z24&gt;0))) * 20</f>
      </c>
      <c r="AE24" s="3">
        <f>SUM(AC24:AD24)</f>
      </c>
    </row>
    <row r="25">
      <c r="A25" s="11">
        <v>21</v>
      </c>
      <c r="B25" s="10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7">
        <f>(SUM(C25:Z25))+AE25</f>
      </c>
      <c r="AB25" s="6">
        <v>0</v>
      </c>
      <c r="AC25" s="8">
        <f>MIN(3, SUMPRODUCT((MOD(Streak!C25:Z25,5)=0)*(MOD(Streak!C25:Z25,10)&lt;&gt;0)*(Streak!C25:Z25&gt;0))) * 5</f>
      </c>
      <c r="AD25" s="8">
        <f>MIN(2, SUMPRODUCT((MOD(Streak!C25:Z25,10)=0)*(Streak!C25:Z25&gt;0))) * 20</f>
      </c>
      <c r="AE25" s="3">
        <f>SUM(AC25:AD25)</f>
      </c>
    </row>
    <row r="26">
      <c r="A26" s="11">
        <v>22</v>
      </c>
      <c r="B26" s="10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7">
        <f>(SUM(C26:Z26))+AE26</f>
      </c>
      <c r="AB26" s="6">
        <v>0</v>
      </c>
      <c r="AC26" s="8">
        <f>MIN(3, SUMPRODUCT((MOD(Streak!C26:Z26,5)=0)*(MOD(Streak!C26:Z26,10)&lt;&gt;0)*(Streak!C26:Z26&gt;0))) * 5</f>
      </c>
      <c r="AD26" s="8">
        <f>MIN(2, SUMPRODUCT((MOD(Streak!C26:Z26,10)=0)*(Streak!C26:Z26&gt;0))) * 20</f>
      </c>
      <c r="AE26" s="3">
        <f>SUM(AC26:AD26)</f>
      </c>
    </row>
    <row r="27">
      <c r="A27" s="11">
        <v>23</v>
      </c>
      <c r="B27" s="10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1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7">
        <f>(SUM(C27:Z27))+AE27</f>
      </c>
      <c r="AB27" s="6">
        <v>0</v>
      </c>
      <c r="AC27" s="8">
        <f>MIN(3, SUMPRODUCT((MOD(Streak!C27:Z27,5)=0)*(MOD(Streak!C27:Z27,10)&lt;&gt;0)*(Streak!C27:Z27&gt;0))) * 5</f>
      </c>
      <c r="AD27" s="8">
        <f>MIN(2, SUMPRODUCT((MOD(Streak!C27:Z27,10)=0)*(Streak!C27:Z27&gt;0))) * 20</f>
      </c>
      <c r="AE27" s="3">
        <f>SUM(AC27:AD27)</f>
      </c>
    </row>
    <row r="28">
      <c r="A28" s="11">
        <v>24</v>
      </c>
      <c r="B28" s="10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7">
        <f>(SUM(C28:Z28))+AE28</f>
      </c>
      <c r="AB28" s="6">
        <v>0</v>
      </c>
      <c r="AC28" s="8">
        <f>MIN(3, SUMPRODUCT((MOD(Streak!C28:Z28,5)=0)*(MOD(Streak!C28:Z28,10)&lt;&gt;0)*(Streak!C28:Z28&gt;0))) * 5</f>
      </c>
      <c r="AD28" s="8">
        <f>MIN(2, SUMPRODUCT((MOD(Streak!C28:Z28,10)=0)*(Streak!C28:Z28&gt;0))) * 20</f>
      </c>
      <c r="AE28" s="3">
        <f>SUM(AC28:AD28)</f>
      </c>
    </row>
    <row r="29">
      <c r="A29" s="11">
        <v>25</v>
      </c>
      <c r="B29" s="10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7">
        <f>(SUM(C29:Z29))+AE29</f>
      </c>
      <c r="AB29" s="6">
        <v>0</v>
      </c>
      <c r="AC29" s="8">
        <f>MIN(3, SUMPRODUCT((MOD(Streak!C29:Z29,5)=0)*(MOD(Streak!C29:Z29,10)&lt;&gt;0)*(Streak!C29:Z29&gt;0))) * 5</f>
      </c>
      <c r="AD29" s="8">
        <f>MIN(2, SUMPRODUCT((MOD(Streak!C29:Z29,10)=0)*(Streak!C29:Z29&gt;0))) * 20</f>
      </c>
      <c r="AE29" s="3">
        <f>SUM(AC29:AD29)</f>
      </c>
    </row>
    <row r="30">
      <c r="A30" s="11">
        <v>26</v>
      </c>
      <c r="B30" s="10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1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7">
        <f>(SUM(C30:Z30))+AE30</f>
      </c>
      <c r="AB30" s="6">
        <v>0</v>
      </c>
      <c r="AC30" s="8">
        <f>MIN(3, SUMPRODUCT((MOD(Streak!C30:Z30,5)=0)*(MOD(Streak!C30:Z30,10)&lt;&gt;0)*(Streak!C30:Z30&gt;0))) * 5</f>
      </c>
      <c r="AD30" s="8">
        <f>MIN(2, SUMPRODUCT((MOD(Streak!C30:Z30,10)=0)*(Streak!C30:Z30&gt;0))) * 20</f>
      </c>
      <c r="AE30" s="3">
        <f>SUM(AC30:AD30)</f>
      </c>
    </row>
    <row r="31">
      <c r="A31" s="11">
        <v>27</v>
      </c>
      <c r="B31" s="10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0</v>
      </c>
      <c r="S31" s="2">
        <v>1</v>
      </c>
      <c r="T31" s="2">
        <v>1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7">
        <f>(SUM(C31:Z31))+AE31</f>
      </c>
      <c r="AB31" s="6">
        <v>0</v>
      </c>
      <c r="AC31" s="8">
        <f>MIN(3, SUMPRODUCT((MOD(Streak!C31:Z31,5)=0)*(MOD(Streak!C31:Z31,10)&lt;&gt;0)*(Streak!C31:Z31&gt;0))) * 5</f>
      </c>
      <c r="AD31" s="8">
        <f>MIN(2, SUMPRODUCT((MOD(Streak!C31:Z31,10)=0)*(Streak!C31:Z31&gt;0))) * 20</f>
      </c>
      <c r="AE31" s="3">
        <f>SUM(AC31:AD31)</f>
      </c>
    </row>
    <row r="32">
      <c r="A32" s="11">
        <v>28</v>
      </c>
      <c r="B32" s="10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7">
        <f>(SUM(C32:Z32))+AE32</f>
      </c>
      <c r="AB32" s="6">
        <v>0</v>
      </c>
      <c r="AC32" s="8">
        <f>MIN(3, SUMPRODUCT((MOD(Streak!C32:Z32,5)=0)*(MOD(Streak!C32:Z32,10)&lt;&gt;0)*(Streak!C32:Z32&gt;0))) * 5</f>
      </c>
      <c r="AD32" s="8">
        <f>MIN(2, SUMPRODUCT((MOD(Streak!C32:Z32,10)=0)*(Streak!C32:Z32&gt;0))) * 20</f>
      </c>
      <c r="AE32" s="3">
        <f>SUM(AC32:AD32)</f>
      </c>
    </row>
    <row r="33">
      <c r="A33" s="11">
        <v>29</v>
      </c>
      <c r="B33" s="10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7">
        <f>(SUM(C33:Z33))+AE33</f>
      </c>
      <c r="AB33" s="6">
        <v>0</v>
      </c>
      <c r="AC33" s="8">
        <f>MIN(3, SUMPRODUCT((MOD(Streak!C33:Z33,5)=0)*(MOD(Streak!C33:Z33,10)&lt;&gt;0)*(Streak!C33:Z33&gt;0))) * 5</f>
      </c>
      <c r="AD33" s="8">
        <f>MIN(2, SUMPRODUCT((MOD(Streak!C33:Z33,10)=0)*(Streak!C33:Z33&gt;0))) * 20</f>
      </c>
      <c r="AE33" s="3">
        <f>SUM(AC33:AD33)</f>
      </c>
    </row>
    <row r="34">
      <c r="A34" s="11">
        <v>30</v>
      </c>
      <c r="B34" s="10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7">
        <f>(SUM(C34:Z34))+AE34</f>
      </c>
      <c r="AB34" s="6">
        <v>0</v>
      </c>
      <c r="AC34" s="8">
        <f>MIN(3, SUMPRODUCT((MOD(Streak!C34:Z34,5)=0)*(MOD(Streak!C34:Z34,10)&lt;&gt;0)*(Streak!C34:Z34&gt;0))) * 5</f>
      </c>
      <c r="AD34" s="8">
        <f>MIN(2, SUMPRODUCT((MOD(Streak!C34:Z34,10)=0)*(Streak!C34:Z34&gt;0))) * 20</f>
      </c>
      <c r="AE34" s="3">
        <f>SUM(AC34:AD34)</f>
      </c>
    </row>
    <row r="35">
      <c r="A35" s="5">
        <v>31</v>
      </c>
      <c r="B35" s="4" t="str">
        <v>JAMberAPA12</v>
      </c>
      <c r="C35" s="1">
        <v>0</v>
      </c>
      <c r="D35" s="1">
        <v>0</v>
      </c>
      <c r="E35" s="1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7">
        <f>(SUM(C35:Z35))+AE35</f>
      </c>
      <c r="AB35" s="6">
        <v>0</v>
      </c>
      <c r="AC35" s="8">
        <f>MIN(3, SUMPRODUCT((MOD(Streak!C35:Z35,5)=0)*(MOD(Streak!C35:Z35,10)&lt;&gt;0)*(Streak!C35:Z35&gt;0))) * 5</f>
      </c>
      <c r="AD35" s="8">
        <f>MIN(2, SUMPRODUCT((MOD(Streak!C35:Z35,10)=0)*(Streak!C35:Z35&gt;0))) * 20</f>
      </c>
      <c r="AE35" s="3">
        <f>SUM(AC35:AD35)</f>
      </c>
    </row>
    <row r="36">
      <c r="A36" s="5">
        <v>32</v>
      </c>
      <c r="B36" s="4" t="str">
        <v>FerryGood</v>
      </c>
      <c r="C36" s="1">
        <v>0</v>
      </c>
      <c r="D36" s="1">
        <v>0</v>
      </c>
      <c r="E36" s="1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7">
        <f>(SUM(C36:Z36))+AE36</f>
      </c>
      <c r="AB36" s="6">
        <v>0</v>
      </c>
      <c r="AC36" s="8">
        <f>MIN(3, SUMPRODUCT((MOD(Streak!C36:Z36,5)=0)*(MOD(Streak!C36:Z36,10)&lt;&gt;0)*(Streak!C36:Z36&gt;0))) * 5</f>
      </c>
      <c r="AD36" s="8">
        <f>MIN(2, SUMPRODUCT((MOD(Streak!C36:Z36,10)=0)*(Streak!C36:Z36&gt;0))) * 20</f>
      </c>
      <c r="AE36" s="3">
        <f>SUM(AC36:AD36)</f>
      </c>
    </row>
    <row r="37">
      <c r="A37" s="5">
        <v>33</v>
      </c>
      <c r="B37" s="4" t="str">
        <v>messiLeo</v>
      </c>
      <c r="C37" s="1">
        <v>0</v>
      </c>
      <c r="D37" s="1">
        <v>0</v>
      </c>
      <c r="E37" s="1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7">
        <f>(SUM(C37:Z37))+AE37</f>
      </c>
      <c r="AB37" s="6">
        <v>0</v>
      </c>
      <c r="AC37" s="8">
        <f>MIN(3, SUMPRODUCT((MOD(Streak!C37:Z37,5)=0)*(MOD(Streak!C37:Z37,10)&lt;&gt;0)*(Streak!C37:Z37&gt;0))) * 5</f>
      </c>
      <c r="AD37" s="8">
        <f>MIN(2, SUMPRODUCT((MOD(Streak!C37:Z37,10)=0)*(Streak!C37:Z37&gt;0))) * 20</f>
      </c>
      <c r="AE37" s="3">
        <f>SUM(AC37:AD37)</f>
      </c>
    </row>
    <row r="38">
      <c r="A38" s="5">
        <v>34</v>
      </c>
      <c r="B38" s="4" t="str">
        <v>KepomponG✅</v>
      </c>
      <c r="C38" s="1">
        <v>0</v>
      </c>
      <c r="D38" s="1">
        <v>0</v>
      </c>
      <c r="E38" s="1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7">
        <f>(SUM(C38:Z38))+AE38</f>
      </c>
      <c r="AB38" s="6">
        <v>0</v>
      </c>
      <c r="AC38" s="8">
        <f>MIN(3, SUMPRODUCT((MOD(Streak!C38:Z38,5)=0)*(MOD(Streak!C38:Z38,10)&lt;&gt;0)*(Streak!C38:Z38&gt;0))) * 5</f>
      </c>
      <c r="AD38" s="8">
        <f>MIN(2, SUMPRODUCT((MOD(Streak!C38:Z38,10)=0)*(Streak!C38:Z38&gt;0))) * 20</f>
      </c>
      <c r="AE38" s="3">
        <f>SUM(AC38:AD38)</f>
      </c>
    </row>
    <row r="39">
      <c r="A39" s="5">
        <v>35</v>
      </c>
      <c r="B39" s="4" t="str" xml:space="preserve">
        <v>Yuli </v>
      </c>
      <c r="C39" s="1">
        <v>0</v>
      </c>
      <c r="D39" s="1">
        <v>1</v>
      </c>
      <c r="E39" s="1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1</v>
      </c>
      <c r="O39" s="2">
        <v>1</v>
      </c>
      <c r="P39" s="2">
        <v>1</v>
      </c>
      <c r="Q39" s="2">
        <v>1</v>
      </c>
      <c r="R39" s="2">
        <v>1</v>
      </c>
      <c r="S39" s="2">
        <v>1</v>
      </c>
      <c r="T39" s="2">
        <v>1</v>
      </c>
      <c r="U39" s="2">
        <v>1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7">
        <f>(SUM(C39:Z39))+AE39</f>
      </c>
      <c r="AB39" s="6">
        <v>0</v>
      </c>
      <c r="AC39" s="8">
        <f>MIN(3, SUMPRODUCT((MOD(Streak!C39:Z39,5)=0)*(MOD(Streak!C39:Z39,10)&lt;&gt;0)*(Streak!C39:Z39&gt;0))) * 5</f>
      </c>
      <c r="AD39" s="8">
        <f>MIN(2, SUMPRODUCT((MOD(Streak!C39:Z39,10)=0)*(Streak!C39:Z39&gt;0))) * 20</f>
      </c>
      <c r="AE39" s="3">
        <f>SUM(AC39:AD39)</f>
      </c>
    </row>
    <row r="40">
      <c r="A40" s="5">
        <v>36</v>
      </c>
      <c r="B40" s="4" t="str">
        <v>GELPHY ✅</v>
      </c>
      <c r="C40" s="1">
        <v>0</v>
      </c>
      <c r="D40" s="1">
        <v>0</v>
      </c>
      <c r="E40" s="1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7">
        <f>(SUM(C40:Z40))+AE40</f>
      </c>
      <c r="AB40" s="6">
        <v>0</v>
      </c>
      <c r="AC40" s="8">
        <f>MIN(3, SUMPRODUCT((MOD(Streak!C40:Z40,5)=0)*(MOD(Streak!C40:Z40,10)&lt;&gt;0)*(Streak!C40:Z40&gt;0))) * 5</f>
      </c>
      <c r="AD40" s="8">
        <f>MIN(2, SUMPRODUCT((MOD(Streak!C40:Z40,10)=0)*(Streak!C40:Z40&gt;0))) * 20</f>
      </c>
      <c r="AE40" s="3">
        <f>SUM(AC40:AD40)</f>
      </c>
    </row>
    <row r="41">
      <c r="A41" s="5">
        <v>37</v>
      </c>
      <c r="B41" s="4" t="str">
        <v>Darso</v>
      </c>
      <c r="C41" s="1">
        <v>0</v>
      </c>
      <c r="D41" s="1">
        <v>0</v>
      </c>
      <c r="E41" s="1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7">
        <f>(SUM(C41:Z41))+AE41</f>
      </c>
      <c r="AB41" s="6">
        <v>0</v>
      </c>
      <c r="AC41" s="8">
        <f>MIN(3, SUMPRODUCT((MOD(Streak!C41:Z41,5)=0)*(MOD(Streak!C41:Z41,10)&lt;&gt;0)*(Streak!C41:Z41&gt;0))) * 5</f>
      </c>
      <c r="AD41" s="8">
        <f>MIN(2, SUMPRODUCT((MOD(Streak!C41:Z41,10)=0)*(Streak!C41:Z41&gt;0))) * 20</f>
      </c>
      <c r="AE41" s="3">
        <f>SUM(AC41:AD41)</f>
      </c>
    </row>
    <row r="42">
      <c r="A42" s="5">
        <v>38</v>
      </c>
      <c r="B42" s="4" t="str">
        <v>Zuna76</v>
      </c>
      <c r="C42" s="1">
        <v>0</v>
      </c>
      <c r="D42" s="1">
        <v>0</v>
      </c>
      <c r="E42" s="1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>
        <v>0</v>
      </c>
      <c r="R42" s="2">
        <v>1</v>
      </c>
      <c r="S42" s="2">
        <v>0</v>
      </c>
      <c r="T42" s="2">
        <v>0</v>
      </c>
      <c r="U42" s="2">
        <v>1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7">
        <f>(SUM(C42:Z42))+AE42</f>
      </c>
      <c r="AB42" s="6">
        <v>0</v>
      </c>
      <c r="AC42" s="8">
        <f>MIN(3, SUMPRODUCT((MOD(Streak!C42:Z42,5)=0)*(MOD(Streak!C42:Z42,10)&lt;&gt;0)*(Streak!C42:Z42&gt;0))) * 5</f>
      </c>
      <c r="AD42" s="8">
        <f>MIN(2, SUMPRODUCT((MOD(Streak!C42:Z42,10)=0)*(Streak!C42:Z42&gt;0))) * 20</f>
      </c>
      <c r="AE42" s="3">
        <f>SUM(AC42:AD42)</f>
      </c>
    </row>
    <row r="43">
      <c r="A43" s="5">
        <v>39</v>
      </c>
      <c r="B43" s="4" t="str">
        <v>Peyeri1906</v>
      </c>
      <c r="C43" s="1">
        <v>0</v>
      </c>
      <c r="D43" s="1">
        <v>1</v>
      </c>
      <c r="E43" s="1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1</v>
      </c>
      <c r="P43" s="2">
        <v>1</v>
      </c>
      <c r="Q43" s="2">
        <v>1</v>
      </c>
      <c r="R43" s="2">
        <v>1</v>
      </c>
      <c r="S43" s="2">
        <v>1</v>
      </c>
      <c r="T43" s="2">
        <v>1</v>
      </c>
      <c r="U43" s="2">
        <v>1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7">
        <f>(SUM(C43:Z43))+AE43</f>
      </c>
      <c r="AB43" s="6">
        <v>0</v>
      </c>
      <c r="AC43" s="8">
        <f>MIN(3, SUMPRODUCT((MOD(Streak!C43:Z43,5)=0)*(MOD(Streak!C43:Z43,10)&lt;&gt;0)*(Streak!C43:Z43&gt;0))) * 5</f>
      </c>
      <c r="AD43" s="8">
        <f>MIN(2, SUMPRODUCT((MOD(Streak!C43:Z43,10)=0)*(Streak!C43:Z43&gt;0))) * 20</f>
      </c>
      <c r="AE43" s="3">
        <f>SUM(AC43:AD43)</f>
      </c>
    </row>
    <row r="44">
      <c r="A44" s="5">
        <v>40</v>
      </c>
      <c r="B44" s="4" t="str">
        <v>Lani</v>
      </c>
      <c r="C44" s="1">
        <v>0</v>
      </c>
      <c r="D44" s="1">
        <v>0</v>
      </c>
      <c r="E44" s="1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7">
        <f>(SUM(C44:Z44))+AE44</f>
      </c>
      <c r="AB44" s="6">
        <v>0</v>
      </c>
      <c r="AC44" s="8">
        <f>MIN(3, SUMPRODUCT((MOD(Streak!C44:Z44,5)=0)*(MOD(Streak!C44:Z44,10)&lt;&gt;0)*(Streak!C44:Z44&gt;0))) * 5</f>
      </c>
      <c r="AD44" s="8">
        <f>MIN(2, SUMPRODUCT((MOD(Streak!C44:Z44,10)=0)*(Streak!C44:Z44&gt;0))) * 20</f>
      </c>
      <c r="AE44" s="3">
        <f>SUM(AC44:AD44)</f>
      </c>
    </row>
    <row r="45">
      <c r="A45" s="5">
        <v>41</v>
      </c>
      <c r="B45" s="4" t="str">
        <v>mytradding</v>
      </c>
      <c r="C45" s="1">
        <v>0</v>
      </c>
      <c r="D45" s="1">
        <v>0</v>
      </c>
      <c r="E45" s="1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7">
        <f>(SUM(C45:Z45))+AE45</f>
      </c>
      <c r="AB45" s="6">
        <v>0</v>
      </c>
      <c r="AC45" s="8">
        <f>MIN(3, SUMPRODUCT((MOD(Streak!C45:Z45,5)=0)*(MOD(Streak!C45:Z45,10)&lt;&gt;0)*(Streak!C45:Z45&gt;0))) * 5</f>
      </c>
      <c r="AD45" s="8">
        <f>MIN(2, SUMPRODUCT((MOD(Streak!C45:Z45,10)=0)*(Streak!C45:Z45&gt;0))) * 20</f>
      </c>
      <c r="AE45" s="3">
        <f>SUM(AC45:AD45)</f>
      </c>
    </row>
    <row r="46">
      <c r="A46" s="5">
        <v>42</v>
      </c>
      <c r="B46" s="4" t="str">
        <v>Bejo09</v>
      </c>
      <c r="C46" s="1">
        <v>0</v>
      </c>
      <c r="D46" s="1">
        <v>0</v>
      </c>
      <c r="E46" s="1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7">
        <f>(SUM(C46:Z46))+AE46</f>
      </c>
      <c r="AB46" s="6">
        <v>0</v>
      </c>
      <c r="AC46" s="8">
        <f>MIN(3, SUMPRODUCT((MOD(Streak!C46:Z46,5)=0)*(MOD(Streak!C46:Z46,10)&lt;&gt;0)*(Streak!C46:Z46&gt;0))) * 5</f>
      </c>
      <c r="AD46" s="8">
        <f>MIN(2, SUMPRODUCT((MOD(Streak!C46:Z46,10)=0)*(Streak!C46:Z46&gt;0))) * 20</f>
      </c>
      <c r="AE46" s="3">
        <f>SUM(AC46:AD46)</f>
      </c>
    </row>
    <row r="47">
      <c r="A47" s="5">
        <v>43</v>
      </c>
      <c r="B47" s="4" t="str" xml:space="preserve">
        <v>FAAHAS </v>
      </c>
      <c r="C47" s="1">
        <v>0</v>
      </c>
      <c r="D47" s="1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1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7">
        <f>(SUM(C47:Z47))+AE47</f>
      </c>
      <c r="AB47" s="6">
        <v>0</v>
      </c>
      <c r="AC47" s="8">
        <f>MIN(3, SUMPRODUCT((MOD(Streak!C47:Z47,5)=0)*(MOD(Streak!C47:Z47,10)&lt;&gt;0)*(Streak!C47:Z47&gt;0))) * 5</f>
      </c>
      <c r="AD47" s="8">
        <f>MIN(2, SUMPRODUCT((MOD(Streak!C47:Z47,10)=0)*(Streak!C47:Z47&gt;0))) * 20</f>
      </c>
      <c r="AE47" s="3">
        <f>SUM(AC47:AD47)</f>
      </c>
    </row>
    <row r="48">
      <c r="A48" s="5">
        <v>44</v>
      </c>
      <c r="B48" s="4" t="str">
        <v>Mr.Eko</v>
      </c>
      <c r="C48" s="1">
        <v>0</v>
      </c>
      <c r="D48" s="1">
        <v>1</v>
      </c>
      <c r="E48" s="1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1</v>
      </c>
      <c r="O48" s="2">
        <v>1</v>
      </c>
      <c r="P48" s="2">
        <v>1</v>
      </c>
      <c r="Q48" s="2">
        <v>1</v>
      </c>
      <c r="R48" s="2">
        <v>0</v>
      </c>
      <c r="S48" s="2">
        <v>1</v>
      </c>
      <c r="T48" s="2">
        <v>1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7">
        <f>(SUM(C48:Z48))+AE48</f>
      </c>
      <c r="AB48" s="6">
        <v>0</v>
      </c>
      <c r="AC48" s="8">
        <f>MIN(3, SUMPRODUCT((MOD(Streak!C48:Z48,5)=0)*(MOD(Streak!C48:Z48,10)&lt;&gt;0)*(Streak!C48:Z48&gt;0))) * 5</f>
      </c>
      <c r="AD48" s="8">
        <f>MIN(2, SUMPRODUCT((MOD(Streak!C48:Z48,10)=0)*(Streak!C48:Z48&gt;0))) * 20</f>
      </c>
      <c r="AE48" s="3">
        <f>SUM(AC48:AD48)</f>
      </c>
    </row>
    <row r="49">
      <c r="A49" s="5">
        <v>45</v>
      </c>
      <c r="B49" s="4" t="str">
        <v>ernaeky788</v>
      </c>
      <c r="C49" s="1">
        <v>0</v>
      </c>
      <c r="D49" s="1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7">
        <f>(SUM(C49:Z49))+AE49</f>
      </c>
      <c r="AB49" s="6">
        <v>0</v>
      </c>
      <c r="AC49" s="8">
        <f>MIN(3, SUMPRODUCT((MOD(Streak!C49:Z49,5)=0)*(MOD(Streak!C49:Z49,10)&lt;&gt;0)*(Streak!C49:Z49&gt;0))) * 5</f>
      </c>
      <c r="AD49" s="8">
        <f>MIN(2, SUMPRODUCT((MOD(Streak!C49:Z49,10)=0)*(Streak!C49:Z49&gt;0))) * 20</f>
      </c>
      <c r="AE49" s="3">
        <f>SUM(AC49:AD49)</f>
      </c>
    </row>
    <row r="50">
      <c r="A50" s="5">
        <v>46</v>
      </c>
      <c r="B50" s="4" t="str">
        <v>Cuan XRP</v>
      </c>
      <c r="C50" s="1">
        <v>0</v>
      </c>
      <c r="D50" s="1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1</v>
      </c>
      <c r="P50" s="2">
        <v>1</v>
      </c>
      <c r="Q50" s="2">
        <v>1</v>
      </c>
      <c r="R50" s="2">
        <v>1</v>
      </c>
      <c r="S50" s="2">
        <v>1</v>
      </c>
      <c r="T50" s="2">
        <v>1</v>
      </c>
      <c r="U50" s="2">
        <v>1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7">
        <f>(SUM(C50:Z50))+AE50</f>
      </c>
      <c r="AB50" s="6">
        <v>0</v>
      </c>
      <c r="AC50" s="8">
        <f>MIN(3, SUMPRODUCT((MOD(Streak!C50:Z50,5)=0)*(MOD(Streak!C50:Z50,10)&lt;&gt;0)*(Streak!C50:Z50&gt;0))) * 5</f>
      </c>
      <c r="AD50" s="8">
        <f>MIN(2, SUMPRODUCT((MOD(Streak!C50:Z50,10)=0)*(Streak!C50:Z50&gt;0))) * 20</f>
      </c>
      <c r="AE50" s="3">
        <f>SUM(AC50:AD50)</f>
      </c>
    </row>
    <row r="51">
      <c r="A51" s="5">
        <v>47</v>
      </c>
      <c r="B51" s="4" t="str">
        <v>MUHAMMAD NASRULLAH</v>
      </c>
      <c r="C51" s="1">
        <v>0</v>
      </c>
      <c r="D51" s="1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7">
        <f>(SUM(C51:Z51))+AE51</f>
      </c>
      <c r="AB51" s="6">
        <v>0</v>
      </c>
      <c r="AC51" s="8">
        <f>MIN(3, SUMPRODUCT((MOD(Streak!C51:Z51,5)=0)*(MOD(Streak!C51:Z51,10)&lt;&gt;0)*(Streak!C51:Z51&gt;0))) * 5</f>
      </c>
      <c r="AD51" s="8">
        <f>MIN(2, SUMPRODUCT((MOD(Streak!C51:Z51,10)=0)*(Streak!C51:Z51&gt;0))) * 20</f>
      </c>
      <c r="AE51" s="3">
        <f>SUM(AC51:AD51)</f>
      </c>
    </row>
    <row customHeight="true" ht="19" r="52">
      <c r="A52" s="5">
        <v>48</v>
      </c>
      <c r="B52" s="4" t="str">
        <v>Tjoei Lan</v>
      </c>
      <c r="C52" s="1">
        <v>0</v>
      </c>
      <c r="D52" s="1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7">
        <f>(SUM(C52:Z52))+AE52</f>
      </c>
      <c r="AB52" s="6">
        <v>0</v>
      </c>
      <c r="AC52" s="8">
        <f>MIN(3, SUMPRODUCT((MOD(Streak!C52:Z52,5)=0)*(MOD(Streak!C52:Z52,10)&lt;&gt;0)*(Streak!C52:Z52&gt;0))) * 5</f>
      </c>
      <c r="AD52" s="8">
        <f>MIN(2, SUMPRODUCT((MOD(Streak!C52:Z52,10)=0)*(Streak!C52:Z52&gt;0))) * 20</f>
      </c>
      <c r="AE52" s="3">
        <f>SUM(AC52:AD52)</f>
      </c>
    </row>
    <row customHeight="true" ht="19" r="53">
      <c r="A53" s="5">
        <v>49</v>
      </c>
      <c r="B53" s="4" t="str">
        <v>Syamsultan</v>
      </c>
      <c r="C53" s="1">
        <v>0</v>
      </c>
      <c r="D53" s="1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1</v>
      </c>
      <c r="P53" s="2">
        <v>1</v>
      </c>
      <c r="Q53" s="2">
        <v>1</v>
      </c>
      <c r="R53" s="2">
        <v>1</v>
      </c>
      <c r="S53" s="2">
        <v>1</v>
      </c>
      <c r="T53" s="2">
        <v>0</v>
      </c>
      <c r="U53" s="2">
        <v>1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7">
        <f>(SUM(C53:Z53))+AE53</f>
      </c>
      <c r="AB53" s="6">
        <v>0</v>
      </c>
      <c r="AC53" s="8">
        <f>MIN(3, SUMPRODUCT((MOD(Streak!C53:Z53,5)=0)*(MOD(Streak!C53:Z53,10)&lt;&gt;0)*(Streak!C53:Z53&gt;0))) * 5</f>
      </c>
      <c r="AD53" s="8">
        <f>MIN(2, SUMPRODUCT((MOD(Streak!C53:Z53,10)=0)*(Streak!C53:Z53&gt;0))) * 20</f>
      </c>
      <c r="AE53" s="3">
        <f>SUM(AC53:AD53)</f>
      </c>
    </row>
    <row customHeight="true" ht="19" r="54">
      <c r="A54" s="5">
        <v>50</v>
      </c>
      <c r="B54" s="4" t="str">
        <v>INDRAWAN</v>
      </c>
      <c r="C54" s="1">
        <v>0</v>
      </c>
      <c r="D54" s="1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1</v>
      </c>
      <c r="P54" s="2">
        <v>0</v>
      </c>
      <c r="Q54" s="2">
        <v>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7">
        <f>(SUM(C54:Z54))+AE54</f>
      </c>
      <c r="AB54" s="6">
        <v>0</v>
      </c>
      <c r="AC54" s="8">
        <f>MIN(3, SUMPRODUCT((MOD(Streak!C54:Z54,5)=0)*(MOD(Streak!C54:Z54,10)&lt;&gt;0)*(Streak!C54:Z54&gt;0))) * 5</f>
      </c>
      <c r="AD54" s="8">
        <f>MIN(2, SUMPRODUCT((MOD(Streak!C54:Z54,10)=0)*(Streak!C54:Z54&gt;0))) * 20</f>
      </c>
      <c r="AE54" s="3">
        <f>SUM(AC54:AD54)</f>
      </c>
    </row>
    <row customHeight="true" ht="19" r="55">
      <c r="A55" s="5">
        <v>51</v>
      </c>
      <c r="B55" s="4" t="str">
        <v>TIYANG SAE</v>
      </c>
      <c r="C55" s="1">
        <v>0</v>
      </c>
      <c r="D55" s="1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1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7">
        <f>(SUM(C55:Z55))+AE55</f>
      </c>
      <c r="AB55" s="6">
        <v>0</v>
      </c>
      <c r="AC55" s="8">
        <f>MIN(3, SUMPRODUCT((MOD(Streak!C55:Z55,5)=0)*(MOD(Streak!C55:Z55,10)&lt;&gt;0)*(Streak!C55:Z55&gt;0))) * 5</f>
      </c>
      <c r="AD55" s="8">
        <f>MIN(2, SUMPRODUCT((MOD(Streak!C55:Z55,10)=0)*(Streak!C55:Z55&gt;0))) * 20</f>
      </c>
      <c r="AE55" s="3">
        <f>SUM(AC55:AD55)</f>
      </c>
    </row>
    <row customHeight="true" ht="19" r="56">
      <c r="A56" s="5">
        <v>52</v>
      </c>
      <c r="B56" s="4" t="str">
        <v>HadriKSD</v>
      </c>
      <c r="C56" s="1">
        <v>0</v>
      </c>
      <c r="D56" s="1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1</v>
      </c>
      <c r="O56" s="2">
        <v>1</v>
      </c>
      <c r="P56" s="2">
        <v>1</v>
      </c>
      <c r="Q56" s="2">
        <v>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7">
        <f>(SUM(C56:Z56))+AE56</f>
      </c>
      <c r="AB56" s="6">
        <v>0</v>
      </c>
      <c r="AC56" s="8">
        <f>MIN(3, SUMPRODUCT((MOD(Streak!C56:Z56,5)=0)*(MOD(Streak!C56:Z56,10)&lt;&gt;0)*(Streak!C56:Z56&gt;0))) * 5</f>
      </c>
      <c r="AD56" s="8">
        <f>MIN(2, SUMPRODUCT((MOD(Streak!C56:Z56,10)=0)*(Streak!C56:Z56&gt;0))) * 20</f>
      </c>
      <c r="AE56" s="3">
        <f>SUM(AC56:AD56)</f>
      </c>
    </row>
    <row customHeight="true" ht="19" r="57">
      <c r="A57" s="5">
        <v>53</v>
      </c>
      <c r="B57" s="4" t="str">
        <v>buy tongka</v>
      </c>
      <c r="C57" s="1">
        <v>0</v>
      </c>
      <c r="D57" s="1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7">
        <f>(SUM(C57:Z57))+AE57</f>
      </c>
      <c r="AB57" s="6">
        <v>0</v>
      </c>
      <c r="AC57" s="8">
        <f>MIN(3, SUMPRODUCT((MOD(Streak!C57:Z57,5)=0)*(MOD(Streak!C57:Z57,10)&lt;&gt;0)*(Streak!C57:Z57&gt;0))) * 5</f>
      </c>
      <c r="AD57" s="8">
        <f>MIN(2, SUMPRODUCT((MOD(Streak!C57:Z57,10)=0)*(Streak!C57:Z57&gt;0))) * 20</f>
      </c>
      <c r="AE57" s="3">
        <f>SUM(AC57:AD57)</f>
      </c>
    </row>
    <row customHeight="true" ht="19" r="58">
      <c r="A58" s="5">
        <v>54</v>
      </c>
      <c r="B58" s="4" t="str">
        <v>Gober</v>
      </c>
      <c r="C58" s="1">
        <v>0</v>
      </c>
      <c r="D58" s="1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7">
        <f>(SUM(C58:Z58))+AE58</f>
      </c>
      <c r="AB58" s="6">
        <v>0</v>
      </c>
      <c r="AC58" s="8">
        <f>MIN(3, SUMPRODUCT((MOD(Streak!C58:Z58,5)=0)*(MOD(Streak!C58:Z58,10)&lt;&gt;0)*(Streak!C58:Z58&gt;0))) * 5</f>
      </c>
      <c r="AD58" s="8">
        <f>MIN(2, SUMPRODUCT((MOD(Streak!C58:Z58,10)=0)*(Streak!C58:Z58&gt;0))) * 20</f>
      </c>
      <c r="AE58" s="3">
        <f>SUM(AC58:AD58)</f>
      </c>
    </row>
    <row customHeight="true" ht="19" r="59">
      <c r="A59" s="5">
        <v>55</v>
      </c>
      <c r="B59" s="4" t="str">
        <v>caniago</v>
      </c>
      <c r="C59" s="1">
        <v>0</v>
      </c>
      <c r="D59" s="1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7">
        <f>(SUM(C59:Z59))+AE59</f>
      </c>
      <c r="AB59" s="6">
        <v>0</v>
      </c>
      <c r="AC59" s="8">
        <f>MIN(3, SUMPRODUCT((MOD(Streak!C59:Z59,5)=0)*(MOD(Streak!C59:Z59,10)&lt;&gt;0)*(Streak!C59:Z59&gt;0))) * 5</f>
      </c>
      <c r="AD59" s="8">
        <f>MIN(2, SUMPRODUCT((MOD(Streak!C59:Z59,10)=0)*(Streak!C59:Z59&gt;0))) * 20</f>
      </c>
      <c r="AE59" s="3">
        <f>SUM(AC59:AD59)</f>
      </c>
    </row>
    <row customHeight="true" ht="19" r="60">
      <c r="A60" s="5">
        <v>56</v>
      </c>
      <c r="B60" s="4" t="str">
        <v>Ana Mega</v>
      </c>
      <c r="C60" s="1">
        <v>0</v>
      </c>
      <c r="D60" s="1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1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7">
        <f>(SUM(C60:Z60))+AE60</f>
      </c>
      <c r="AB60" s="6">
        <v>0</v>
      </c>
      <c r="AC60" s="8">
        <f>MIN(3, SUMPRODUCT((MOD(Streak!C60:Z60,5)=0)*(MOD(Streak!C60:Z60,10)&lt;&gt;0)*(Streak!C60:Z60&gt;0))) * 5</f>
      </c>
      <c r="AD60" s="8">
        <f>MIN(2, SUMPRODUCT((MOD(Streak!C60:Z60,10)=0)*(Streak!C60:Z60&gt;0))) * 20</f>
      </c>
      <c r="AE60" s="3">
        <f>SUM(AC60:AD60)</f>
      </c>
    </row>
    <row customHeight="true" ht="19" r="61">
      <c r="A61" s="5">
        <v>57</v>
      </c>
      <c r="B61" s="4" t="str">
        <v>anasta</v>
      </c>
      <c r="C61" s="1">
        <v>0</v>
      </c>
      <c r="D61" s="1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1</v>
      </c>
      <c r="O61" s="2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7">
        <f>(SUM(C61:Z61))+AE61</f>
      </c>
      <c r="AB61" s="6">
        <v>0</v>
      </c>
      <c r="AC61" s="8">
        <f>MIN(3, SUMPRODUCT((MOD(Streak!C61:Z61,5)=0)*(MOD(Streak!C61:Z61,10)&lt;&gt;0)*(Streak!C61:Z61&gt;0))) * 5</f>
      </c>
      <c r="AD61" s="8">
        <f>MIN(2, SUMPRODUCT((MOD(Streak!C61:Z61,10)=0)*(Streak!C61:Z61&gt;0))) * 20</f>
      </c>
      <c r="AE61" s="3">
        <f>SUM(AC61:AD61)</f>
      </c>
    </row>
    <row customHeight="true" ht="19" r="62">
      <c r="A62" s="5">
        <v>58</v>
      </c>
      <c r="B62" s="4" t="str">
        <v>Kurnia</v>
      </c>
      <c r="C62" s="1">
        <v>0</v>
      </c>
      <c r="D62" s="1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7">
        <f>(SUM(C62:Z62))+AE62</f>
      </c>
      <c r="AB62" s="6">
        <v>0</v>
      </c>
      <c r="AC62" s="8">
        <f>MIN(3, SUMPRODUCT((MOD(Streak!C63:Z63,5)=0)*(MOD(Streak!C63:Z63,10)&lt;&gt;0)*(Streak!C63:Z63&gt;0))) * 5</f>
      </c>
      <c r="AD62" s="8">
        <f>MIN(2, SUMPRODUCT((MOD(Streak!C63:Z63,10)=0)*(Streak!C63:Z63&gt;0))) * 20</f>
      </c>
      <c r="AE62" s="3">
        <f>SUM(AC62:AD62)</f>
      </c>
    </row>
    <row customHeight="true" ht="19" r="63">
      <c r="A63" s="5">
        <v>59</v>
      </c>
      <c r="B63" s="4" t="str">
        <v>Yura Audi</v>
      </c>
      <c r="C63" s="1">
        <v>0</v>
      </c>
      <c r="D63" s="1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7">
        <f>(SUM(C63:Z63))+AE63</f>
      </c>
      <c r="AB63" s="6">
        <v>0</v>
      </c>
      <c r="AC63" s="8">
        <f>MIN(3, SUMPRODUCT((MOD(Streak!C64:Z64,5)=0)*(MOD(Streak!C64:Z64,10)&lt;&gt;0)*(Streak!C64:Z64&gt;0))) * 5</f>
      </c>
      <c r="AD63" s="8">
        <f>MIN(2, SUMPRODUCT((MOD(Streak!C64:Z64,10)=0)*(Streak!C64:Z64&gt;0))) * 20</f>
      </c>
      <c r="AE63" s="3">
        <f>SUM(AC63:AD63)</f>
      </c>
    </row>
    <row customHeight="true" ht="19" r="64">
      <c r="A64" s="5">
        <v>60</v>
      </c>
      <c r="B64" s="4" t="str">
        <v>Liang</v>
      </c>
      <c r="C64" s="1">
        <v>0</v>
      </c>
      <c r="D64" s="1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7">
        <f>(SUM(C64:Z64))+AE64</f>
      </c>
      <c r="AB64" s="6">
        <v>0</v>
      </c>
      <c r="AC64" s="8">
        <f>MIN(3, SUMPRODUCT((MOD(Streak!C65:Z65,5)=0)*(MOD(Streak!C65:Z65,10)&lt;&gt;0)*(Streak!C65:Z65&gt;0))) * 5</f>
      </c>
      <c r="AD64" s="8">
        <f>MIN(2, SUMPRODUCT((MOD(Streak!C65:Z65,10)=0)*(Streak!C65:Z65&gt;0))) * 20</f>
      </c>
      <c r="AE64" s="3">
        <f>SUM(AC64:AD64)</f>
      </c>
    </row>
    <row customHeight="true" ht="19" r="65">
      <c r="A65" s="5">
        <v>61</v>
      </c>
      <c r="B65" s="4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1</v>
      </c>
      <c r="O65" s="2">
        <v>1</v>
      </c>
      <c r="P65" s="2">
        <v>0</v>
      </c>
      <c r="Q65" s="2">
        <v>1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7">
        <f>(SUM(C65:Z65))+AE65</f>
      </c>
      <c r="AB65" s="6">
        <v>0</v>
      </c>
      <c r="AC65" s="8">
        <f>MIN(3, SUMPRODUCT((MOD(Streak!C66:Z66,5)=0)*(MOD(Streak!C66:Z66,10)&lt;&gt;0)*(Streak!C66:Z66&gt;0))) * 5</f>
      </c>
      <c r="AD65" s="8">
        <f>MIN(2, SUMPRODUCT((MOD(Streak!C66:Z66,10)=0)*(Streak!C66:Z66&gt;0))) * 20</f>
      </c>
      <c r="AE65" s="3">
        <f>SUM(AC65:AD65)</f>
      </c>
    </row>
    <row customHeight="true" ht="19" r="66">
      <c r="A66" s="5">
        <v>62</v>
      </c>
      <c r="B66" s="4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7">
        <f>(SUM(C66:Z66))+AE66</f>
      </c>
      <c r="AB66" s="6">
        <v>0</v>
      </c>
      <c r="AC66" s="8">
        <f>MIN(3, SUMPRODUCT((MOD(Streak!C67:Z67,5)=0)*(MOD(Streak!C67:Z67,10)&lt;&gt;0)*(Streak!C67:Z67&gt;0))) * 5</f>
      </c>
      <c r="AD66" s="8">
        <f>MIN(2, SUMPRODUCT((MOD(Streak!C67:Z67,10)=0)*(Streak!C67:Z67&gt;0))) * 20</f>
      </c>
      <c r="AE66" s="3">
        <f>SUM(AC66:AD66)</f>
      </c>
    </row>
    <row customHeight="true" ht="19" r="67">
      <c r="A67" s="5">
        <v>63</v>
      </c>
      <c r="B67" s="4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1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7">
        <f>(SUM(C67:Z67))+AE67</f>
      </c>
      <c r="AB67" s="6">
        <v>0</v>
      </c>
      <c r="AC67" s="8">
        <f>MIN(3, SUMPRODUCT((MOD(Streak!C68:Z68,5)=0)*(MOD(Streak!C68:Z68,10)&lt;&gt;0)*(Streak!C68:Z68&gt;0))) * 5</f>
      </c>
      <c r="AD67" s="8">
        <f>MIN(2, SUMPRODUCT((MOD(Streak!C68:Z68,10)=0)*(Streak!C68:Z68&gt;0))) * 20</f>
      </c>
      <c r="AE67" s="3">
        <f>SUM(AC67:AD67)</f>
      </c>
    </row>
    <row customHeight="true" ht="19" r="68">
      <c r="A68" s="5">
        <v>64</v>
      </c>
      <c r="B68" s="4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1</v>
      </c>
      <c r="T68" s="2">
        <v>1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7">
        <f>(SUM(C68:Z68))+AE68</f>
      </c>
      <c r="AB68" s="6">
        <v>0</v>
      </c>
      <c r="AC68" s="8">
        <f>MIN(3, SUMPRODUCT((MOD(Streak!C69:Z69,5)=0)*(MOD(Streak!C69:Z69,10)&lt;&gt;0)*(Streak!C69:Z69&gt;0))) * 5</f>
      </c>
      <c r="AD68" s="8">
        <f>MIN(2, SUMPRODUCT((MOD(Streak!C69:Z69,10)=0)*(Streak!C69:Z69&gt;0))) * 20</f>
      </c>
      <c r="AE68" s="3">
        <f>SUM(AC68:AD68)</f>
      </c>
    </row>
    <row customHeight="true" ht="19" r="69">
      <c r="A69" s="5">
        <v>65</v>
      </c>
      <c r="B69" s="4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7">
        <f>(SUM(C69:Z69))+AE69</f>
      </c>
      <c r="AB69" s="6">
        <v>0</v>
      </c>
      <c r="AC69" s="8">
        <f>MIN(3, SUMPRODUCT((MOD(Streak!C70:Z70,5)=0)*(MOD(Streak!C70:Z70,10)&lt;&gt;0)*(Streak!C70:Z70&gt;0))) * 5</f>
      </c>
      <c r="AD69" s="8">
        <f>MIN(2, SUMPRODUCT((MOD(Streak!C70:Z70,10)=0)*(Streak!C70:Z70&gt;0))) * 20</f>
      </c>
      <c r="AE69" s="3">
        <f>SUM(AC69:AD69)</f>
      </c>
    </row>
    <row customHeight="true" ht="19" r="70">
      <c r="A70" s="5">
        <v>66</v>
      </c>
      <c r="B70" s="4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7">
        <f>(SUM(C70:Z70))+AE70</f>
      </c>
      <c r="AB70" s="6">
        <v>0</v>
      </c>
      <c r="AC70" s="8">
        <f>MIN(3, SUMPRODUCT((MOD(Streak!C71:Z71,5)=0)*(MOD(Streak!C71:Z71,10)&lt;&gt;0)*(Streak!C71:Z71&gt;0))) * 5</f>
      </c>
      <c r="AD70" s="8">
        <f>MIN(2, SUMPRODUCT((MOD(Streak!C71:Z71,10)=0)*(Streak!C71:Z71&gt;0))) * 20</f>
      </c>
      <c r="AE70" s="3">
        <f>SUM(AC70:AD70)</f>
      </c>
    </row>
    <row customHeight="true" ht="19" r="71">
      <c r="A71" s="5">
        <v>67</v>
      </c>
      <c r="B71" s="4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7">
        <f>(SUM(C71:Z71))+AE71</f>
      </c>
      <c r="AB71" s="6">
        <v>0</v>
      </c>
      <c r="AC71" s="8">
        <f>MIN(3, SUMPRODUCT((MOD(Streak!C72:Z72,5)=0)*(MOD(Streak!C72:Z72,10)&lt;&gt;0)*(Streak!C72:Z72&gt;0))) * 5</f>
      </c>
      <c r="AD71" s="8">
        <f>MIN(2, SUMPRODUCT((MOD(Streak!C72:Z72,10)=0)*(Streak!C72:Z72&gt;0))) * 20</f>
      </c>
      <c r="AE71" s="3">
        <f>SUM(AC71:AD71)</f>
      </c>
    </row>
    <row customHeight="true" ht="19" r="72">
      <c r="A72" s="5">
        <v>68</v>
      </c>
      <c r="B72" s="4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7">
        <f>(SUM(C72:Z72))+AE72</f>
      </c>
      <c r="AB72" s="6">
        <v>0</v>
      </c>
      <c r="AC72" s="8">
        <f>MIN(3, SUMPRODUCT((MOD(Streak!C73:Z73,5)=0)*(MOD(Streak!C73:Z73,10)&lt;&gt;0)*(Streak!C73:Z73&gt;0))) * 5</f>
      </c>
      <c r="AD72" s="8">
        <f>MIN(2, SUMPRODUCT((MOD(Streak!C73:Z73,10)=0)*(Streak!C73:Z73&gt;0))) * 20</f>
      </c>
      <c r="AE72" s="3">
        <f>SUM(AC72:AD72)</f>
      </c>
    </row>
    <row customHeight="true" ht="19" r="73">
      <c r="A73" s="5">
        <v>69</v>
      </c>
      <c r="B73" s="4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1</v>
      </c>
      <c r="U73" s="2">
        <v>1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7">
        <f>(SUM(C73:Z73))+AE73</f>
      </c>
      <c r="AB73" s="6">
        <v>0</v>
      </c>
      <c r="AC73" s="8">
        <f>MIN(3, SUMPRODUCT((MOD(Streak!C74:Z74,5)=0)*(MOD(Streak!C74:Z74,10)&lt;&gt;0)*(Streak!C74:Z74&gt;0))) * 5</f>
      </c>
      <c r="AD73" s="8">
        <f>MIN(2, SUMPRODUCT((MOD(Streak!C74:Z74,10)=0)*(Streak!C74:Z74&gt;0))) * 20</f>
      </c>
      <c r="AE73" s="3">
        <f>SUM(AC73:AD73)</f>
      </c>
    </row>
    <row customHeight="true" ht="19" r="74">
      <c r="A74" s="5">
        <v>70</v>
      </c>
      <c r="B74" s="4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1</v>
      </c>
      <c r="O74" s="2">
        <v>1</v>
      </c>
      <c r="P74" s="2">
        <v>1</v>
      </c>
      <c r="Q74" s="2">
        <v>1</v>
      </c>
      <c r="R74" s="2">
        <v>1</v>
      </c>
      <c r="S74" s="2">
        <v>1</v>
      </c>
      <c r="T74" s="2">
        <v>1</v>
      </c>
      <c r="U74" s="2">
        <v>1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7">
        <f>(SUM(C74:Z74))+AE74</f>
      </c>
      <c r="AB74" s="6">
        <v>0</v>
      </c>
      <c r="AC74" s="8">
        <f>MIN(3, SUMPRODUCT((MOD(Streak!C75:Z75,5)=0)*(MOD(Streak!C75:Z75,10)&lt;&gt;0)*(Streak!C75:Z75&gt;0))) * 5</f>
      </c>
      <c r="AD74" s="8">
        <f>MIN(2, SUMPRODUCT((MOD(Streak!C75:Z75,10)=0)*(Streak!C75:Z75&gt;0))) * 20</f>
      </c>
      <c r="AE74" s="3">
        <f>SUM(AC74:AD74)</f>
      </c>
    </row>
    <row customHeight="true" ht="19" r="75">
      <c r="A75" s="5">
        <v>71</v>
      </c>
      <c r="B75" s="4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1</v>
      </c>
      <c r="Q75" s="2">
        <v>1</v>
      </c>
      <c r="R75" s="2">
        <v>0</v>
      </c>
      <c r="S75" s="2">
        <v>1</v>
      </c>
      <c r="T75" s="2">
        <v>1</v>
      </c>
      <c r="U75" s="2">
        <v>1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7">
        <f>(SUM(C75:Z75))+AE75</f>
      </c>
      <c r="AB75" s="6">
        <v>0</v>
      </c>
      <c r="AC75" s="8">
        <f>MIN(3, SUMPRODUCT((MOD(Streak!C76:Z76,5)=0)*(MOD(Streak!C76:Z76,10)&lt;&gt;0)*(Streak!C76:Z76&gt;0))) * 5</f>
      </c>
      <c r="AD75" s="8">
        <f>MIN(2, SUMPRODUCT((MOD(Streak!C76:Z76,10)=0)*(Streak!C76:Z76&gt;0))) * 20</f>
      </c>
      <c r="AE75" s="3">
        <f>SUM(AC75:AD75)</f>
      </c>
    </row>
    <row customHeight="true" ht="19" r="76">
      <c r="A76" s="5">
        <v>72</v>
      </c>
      <c r="B76" s="4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1</v>
      </c>
      <c r="O76" s="2">
        <v>1</v>
      </c>
      <c r="P76" s="2">
        <v>1</v>
      </c>
      <c r="Q76" s="2">
        <v>1</v>
      </c>
      <c r="R76" s="2">
        <v>1</v>
      </c>
      <c r="S76" s="2">
        <v>1</v>
      </c>
      <c r="T76" s="2">
        <v>1</v>
      </c>
      <c r="U76" s="2">
        <v>1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7">
        <f>(SUM(C76:Z76))+AE76</f>
      </c>
      <c r="AB76" s="6">
        <v>0</v>
      </c>
      <c r="AC76" s="8">
        <f>MIN(3, SUMPRODUCT((MOD(Streak!C77:Z77,5)=0)*(MOD(Streak!C77:Z77,10)&lt;&gt;0)*(Streak!C77:Z77&gt;0))) * 5</f>
      </c>
      <c r="AD76" s="8">
        <f>MIN(2, SUMPRODUCT((MOD(Streak!C77:Z77,10)=0)*(Streak!C77:Z77&gt;0))) * 20</f>
      </c>
      <c r="AE76" s="3">
        <f>SUM(AC76:AD76)</f>
      </c>
    </row>
    <row customHeight="true" ht="19" r="77">
      <c r="A77" s="5">
        <v>73</v>
      </c>
      <c r="B77" s="4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1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7">
        <f>(SUM(C77:Z77))+AE77</f>
      </c>
      <c r="AB77" s="6">
        <v>0</v>
      </c>
      <c r="AC77" s="8">
        <f>MIN(3, SUMPRODUCT((MOD(Streak!C78:Z78,5)=0)*(MOD(Streak!C78:Z78,10)&lt;&gt;0)*(Streak!C78:Z78&gt;0))) * 5</f>
      </c>
      <c r="AD77" s="8">
        <f>MIN(2, SUMPRODUCT((MOD(Streak!C78:Z78,10)=0)*(Streak!C78:Z78&gt;0))) * 20</f>
      </c>
      <c r="AE77" s="3">
        <f>SUM(AC77:AD77)</f>
      </c>
    </row>
    <row customHeight="true" ht="19" r="78">
      <c r="A78" s="5">
        <v>74</v>
      </c>
      <c r="B78" s="12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7">
        <f>(SUM(C78:Z78))+AE78</f>
      </c>
      <c r="AB78" s="6">
        <v>0</v>
      </c>
      <c r="AC78" s="8">
        <f>MIN(3, SUMPRODUCT((MOD(Streak!C79:Z79,5)=0)*(MOD(Streak!C79:Z79,10)&lt;&gt;0)*(Streak!C79:Z79&gt;0))) * 5</f>
      </c>
      <c r="AD78" s="8">
        <f>MIN(2, SUMPRODUCT((MOD(Streak!C79:Z79,10)=0)*(Streak!C79:Z79&gt;0))) * 20</f>
      </c>
      <c r="AE78" s="3">
        <f>SUM(AC78:AD78)</f>
      </c>
    </row>
    <row customHeight="true" ht="19" r="79">
      <c r="A79" s="5">
        <v>75</v>
      </c>
      <c r="B79" s="4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1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7">
        <f>(SUM(C79:Z79))+AE79</f>
      </c>
      <c r="AB79" s="6">
        <v>0</v>
      </c>
      <c r="AC79" s="8">
        <f>MIN(3, SUMPRODUCT((MOD(Streak!C80:Z80,5)=0)*(MOD(Streak!C80:Z80,10)&lt;&gt;0)*(Streak!C80:Z80&gt;0))) * 5</f>
      </c>
      <c r="AD79" s="8">
        <f>MIN(2, SUMPRODUCT((MOD(Streak!C80:Z80,10)=0)*(Streak!C80:Z80&gt;0))) * 20</f>
      </c>
      <c r="AE79" s="3">
        <f>SUM(AC79:AD79)</f>
      </c>
    </row>
    <row customHeight="true" ht="19" r="80">
      <c r="A80" s="5">
        <v>76</v>
      </c>
      <c r="B80" s="4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7">
        <f>(SUM(C80:Z80))+AE80</f>
      </c>
      <c r="AB80" s="6">
        <v>0</v>
      </c>
      <c r="AC80" s="8">
        <f>MIN(3, SUMPRODUCT((MOD(Streak!C81:Z81,5)=0)*(MOD(Streak!C81:Z81,10)&lt;&gt;0)*(Streak!C81:Z81&gt;0))) * 5</f>
      </c>
      <c r="AD80" s="8">
        <f>MIN(2, SUMPRODUCT((MOD(Streak!C81:Z81,10)=0)*(Streak!C81:Z81&gt;0))) * 20</f>
      </c>
      <c r="AE80" s="3">
        <f>SUM(AC80:AD80)</f>
      </c>
    </row>
    <row customHeight="true" ht="19" r="81">
      <c r="A81" s="5">
        <v>77</v>
      </c>
      <c r="B81" s="4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1</v>
      </c>
      <c r="Q81" s="2">
        <v>0</v>
      </c>
      <c r="R81" s="2">
        <v>0</v>
      </c>
      <c r="S81" s="2">
        <v>1</v>
      </c>
      <c r="T81" s="2">
        <v>1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7">
        <f>(SUM(C81:Z81))+AE81</f>
      </c>
      <c r="AB81" s="6">
        <v>0</v>
      </c>
      <c r="AC81" s="8">
        <f>MIN(3, SUMPRODUCT((MOD(Streak!C82:Z82,5)=0)*(MOD(Streak!C82:Z82,10)&lt;&gt;0)*(Streak!C82:Z82&gt;0))) * 5</f>
      </c>
      <c r="AD81" s="8">
        <f>MIN(2, SUMPRODUCT((MOD(Streak!C82:Z82,10)=0)*(Streak!C82:Z82&gt;0))) * 20</f>
      </c>
      <c r="AE81" s="3">
        <f>SUM(AC81:AD81)</f>
      </c>
    </row>
    <row customHeight="true" ht="19" r="82">
      <c r="A82" s="5">
        <v>78</v>
      </c>
      <c r="B82" s="4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7">
        <f>(SUM(C82:Z82))+AE82</f>
      </c>
      <c r="AB82" s="6">
        <v>0</v>
      </c>
      <c r="AC82" s="8">
        <f>MIN(3, SUMPRODUCT((MOD(Streak!C83:Z83,5)=0)*(MOD(Streak!C83:Z83,10)&lt;&gt;0)*(Streak!C83:Z83&gt;0))) * 5</f>
      </c>
      <c r="AD82" s="8">
        <f>MIN(2, SUMPRODUCT((MOD(Streak!C83:Z83,10)=0)*(Streak!C83:Z83&gt;0))) * 20</f>
      </c>
      <c r="AE82" s="3">
        <f>SUM(AC82:AD82)</f>
      </c>
    </row>
    <row customHeight="true" ht="19" r="83">
      <c r="A83" s="5">
        <v>79</v>
      </c>
      <c r="B83" s="4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7">
        <f>(SUM(C83:Z83))+AE83</f>
      </c>
      <c r="AB83" s="6">
        <v>0</v>
      </c>
      <c r="AC83" s="8">
        <f>MIN(3, SUMPRODUCT((MOD(Streak!C84:Z84,5)=0)*(MOD(Streak!C84:Z84,10)&lt;&gt;0)*(Streak!C84:Z84&gt;0))) * 5</f>
      </c>
      <c r="AD83" s="8">
        <f>MIN(2, SUMPRODUCT((MOD(Streak!C84:Z84,10)=0)*(Streak!C84:Z84&gt;0))) * 20</f>
      </c>
      <c r="AE83" s="3">
        <f>SUM(AC83:AD83)</f>
      </c>
    </row>
    <row customHeight="true" ht="19" r="84">
      <c r="A84" s="5">
        <v>80</v>
      </c>
      <c r="B84" s="4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7">
        <f>(SUM(C84:Z84))+AE84</f>
      </c>
      <c r="AB84" s="6">
        <v>0</v>
      </c>
      <c r="AC84" s="8">
        <f>MIN(3, SUMPRODUCT((MOD(Streak!C85:Z85,5)=0)*(MOD(Streak!C85:Z85,10)&lt;&gt;0)*(Streak!C85:Z85&gt;0))) * 5</f>
      </c>
      <c r="AD84" s="8">
        <f>MIN(2, SUMPRODUCT((MOD(Streak!C85:Z85,10)=0)*(Streak!C85:Z85&gt;0))) * 20</f>
      </c>
      <c r="AE84" s="3">
        <f>SUM(AC84:AD84)</f>
      </c>
    </row>
    <row customHeight="true" ht="19" r="85">
      <c r="A85" s="5">
        <v>81</v>
      </c>
      <c r="B85" s="4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7">
        <f>(SUM(C85:Z85))+AE85</f>
      </c>
      <c r="AB85" s="6">
        <v>0</v>
      </c>
      <c r="AC85" s="8">
        <f>MIN(3, SUMPRODUCT((MOD(Streak!C86:Z86,5)=0)*(MOD(Streak!C86:Z86,10)&lt;&gt;0)*(Streak!C86:Z86&gt;0))) * 5</f>
      </c>
      <c r="AD85" s="8">
        <f>MIN(2, SUMPRODUCT((MOD(Streak!C86:Z86,10)=0)*(Streak!C86:Z86&gt;0))) * 20</f>
      </c>
      <c r="AE85" s="3">
        <f>SUM(AC85:AD85)</f>
      </c>
    </row>
    <row customHeight="true" ht="19" r="86">
      <c r="A86" s="5">
        <v>82</v>
      </c>
      <c r="B86" s="4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7">
        <f>(SUM(C86:Z86))+AE86</f>
      </c>
      <c r="AB86" s="6">
        <v>0</v>
      </c>
      <c r="AC86" s="8">
        <f>MIN(3, SUMPRODUCT((MOD(Streak!C87:Z87,5)=0)*(MOD(Streak!C87:Z87,10)&lt;&gt;0)*(Streak!C87:Z87&gt;0))) * 5</f>
      </c>
      <c r="AD86" s="8">
        <f>MIN(2, SUMPRODUCT((MOD(Streak!C87:Z87,10)=0)*(Streak!C87:Z87&gt;0))) * 20</f>
      </c>
      <c r="AE86" s="3">
        <f>SUM(AC86:AD86)</f>
      </c>
    </row>
    <row customHeight="true" ht="19" r="87">
      <c r="A87" s="5">
        <v>83</v>
      </c>
      <c r="B87" s="4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1</v>
      </c>
      <c r="O87" s="2">
        <v>1</v>
      </c>
      <c r="P87" s="2">
        <v>1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7">
        <f>(SUM(C87:Z87))+AE87</f>
      </c>
      <c r="AB87" s="6">
        <v>0</v>
      </c>
      <c r="AC87" s="8">
        <f>MIN(3, SUMPRODUCT((MOD(Streak!C88:Z88,5)=0)*(MOD(Streak!C88:Z88,10)&lt;&gt;0)*(Streak!C88:Z88&gt;0))) * 5</f>
      </c>
      <c r="AD87" s="8">
        <f>MIN(2, SUMPRODUCT((MOD(Streak!C88:Z88,10)=0)*(Streak!C88:Z88&gt;0))) * 20</f>
      </c>
      <c r="AE87" s="3">
        <f>SUM(AC87:AD87)</f>
      </c>
    </row>
    <row customHeight="true" ht="19" r="88">
      <c r="A88" s="5">
        <v>84</v>
      </c>
      <c r="B88" s="4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7">
        <f>(SUM(C88:Z88))+AE88</f>
      </c>
      <c r="AB88" s="6">
        <v>0</v>
      </c>
      <c r="AC88" s="8">
        <f>MIN(3, SUMPRODUCT((MOD(Streak!C89:Z89,5)=0)*(MOD(Streak!C89:Z89,10)&lt;&gt;0)*(Streak!C89:Z89&gt;0))) * 5</f>
      </c>
      <c r="AD88" s="8">
        <f>MIN(2, SUMPRODUCT((MOD(Streak!C89:Z89,10)=0)*(Streak!C89:Z89&gt;0))) * 20</f>
      </c>
      <c r="AE88" s="3">
        <f>SUM(AC88:AD88)</f>
      </c>
    </row>
    <row customHeight="true" ht="19" r="89">
      <c r="A89" s="5">
        <v>85</v>
      </c>
      <c r="B89" s="4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7">
        <f>(SUM(C89:Z89))+AE89</f>
      </c>
      <c r="AB89" s="6">
        <v>0</v>
      </c>
      <c r="AC89" s="8">
        <f>MIN(3, SUMPRODUCT((MOD(Streak!C90:Z90,5)=0)*(MOD(Streak!C90:Z90,10)&lt;&gt;0)*(Streak!C90:Z90&gt;0))) * 5</f>
      </c>
      <c r="AD89" s="8">
        <f>MIN(2, SUMPRODUCT((MOD(Streak!C90:Z90,10)=0)*(Streak!C90:Z90&gt;0))) * 20</f>
      </c>
      <c r="AE89" s="3">
        <f>SUM(AC89:AD89)</f>
      </c>
    </row>
    <row customHeight="true" ht="19" r="90">
      <c r="A90" s="5">
        <v>86</v>
      </c>
      <c r="B90" s="4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7">
        <f>(SUM(C90:Z90))+AE90</f>
      </c>
      <c r="AB90" s="6">
        <v>0</v>
      </c>
      <c r="AC90" s="8">
        <f>MIN(3, SUMPRODUCT((MOD(Streak!C91:Z91,5)=0)*(MOD(Streak!C91:Z91,10)&lt;&gt;0)*(Streak!C91:Z91&gt;0))) * 5</f>
      </c>
      <c r="AD90" s="8">
        <f>MIN(2, SUMPRODUCT((MOD(Streak!C91:Z91,10)=0)*(Streak!C91:Z91&gt;0))) * 20</f>
      </c>
      <c r="AE90" s="3">
        <f>SUM(AC90:AD90)</f>
      </c>
    </row>
    <row customHeight="true" ht="19" r="91">
      <c r="A91" s="5">
        <v>87</v>
      </c>
      <c r="B91" s="4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7">
        <f>(SUM(C91:Z91))+AE91</f>
      </c>
      <c r="AB91" s="6">
        <v>0</v>
      </c>
      <c r="AC91" s="8">
        <f>MIN(3, SUMPRODUCT((MOD(Streak!C92:Z92,5)=0)*(MOD(Streak!C92:Z92,10)&lt;&gt;0)*(Streak!C92:Z92&gt;0))) * 5</f>
      </c>
      <c r="AD91" s="8">
        <f>MIN(2, SUMPRODUCT((MOD(Streak!C92:Z92,10)=0)*(Streak!C92:Z92&gt;0))) * 20</f>
      </c>
      <c r="AE91" s="3">
        <f>SUM(AC91:AD91)</f>
      </c>
    </row>
    <row customHeight="true" ht="19" r="92">
      <c r="A92" s="5">
        <v>88</v>
      </c>
      <c r="B92" s="4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7">
        <f>(SUM(C92:Z92))+AE92</f>
      </c>
      <c r="AB92" s="6">
        <v>0</v>
      </c>
      <c r="AC92" s="8">
        <f>MIN(3, SUMPRODUCT((MOD(Streak!C93:Z93,5)=0)*(MOD(Streak!C93:Z93,10)&lt;&gt;0)*(Streak!C93:Z93&gt;0))) * 5</f>
      </c>
      <c r="AD92" s="8">
        <f>MIN(2, SUMPRODUCT((MOD(Streak!C93:Z93,10)=0)*(Streak!C93:Z93&gt;0))) * 20</f>
      </c>
      <c r="AE92" s="3">
        <f>SUM(AC92:AD92)</f>
      </c>
    </row>
    <row customHeight="true" ht="19" r="93">
      <c r="A93" s="5">
        <v>89</v>
      </c>
      <c r="B93" s="4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7">
        <f>(SUM(C93:Z93))+AE93</f>
      </c>
      <c r="AB93" s="6">
        <v>0</v>
      </c>
      <c r="AC93" s="8">
        <f>MIN(3, SUMPRODUCT((MOD(Streak!C94:Z94,5)=0)*(MOD(Streak!C94:Z94,10)&lt;&gt;0)*(Streak!C94:Z94&gt;0))) * 5</f>
      </c>
      <c r="AD93" s="8">
        <f>MIN(2, SUMPRODUCT((MOD(Streak!C94:Z94,10)=0)*(Streak!C94:Z94&gt;0))) * 20</f>
      </c>
      <c r="AE93" s="3">
        <f>SUM(AC93:AD93)</f>
      </c>
    </row>
    <row customHeight="true" ht="19" r="94">
      <c r="A94" s="5">
        <v>90</v>
      </c>
      <c r="B94" s="4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1</v>
      </c>
      <c r="O94" s="2">
        <v>0</v>
      </c>
      <c r="P94" s="2">
        <v>0</v>
      </c>
      <c r="Q94" s="2">
        <v>1</v>
      </c>
      <c r="R94" s="2">
        <v>1</v>
      </c>
      <c r="S94" s="2">
        <v>1</v>
      </c>
      <c r="T94" s="2">
        <v>1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7">
        <f>(SUM(C94:Z94))+AE94</f>
      </c>
      <c r="AB94" s="6">
        <v>0</v>
      </c>
      <c r="AC94" s="8">
        <f>MIN(3, SUMPRODUCT((MOD(Streak!C95:Z95,5)=0)*(MOD(Streak!C95:Z95,10)&lt;&gt;0)*(Streak!C95:Z95&gt;0))) * 5</f>
      </c>
      <c r="AD94" s="8">
        <f>MIN(2, SUMPRODUCT((MOD(Streak!C95:Z95,10)=0)*(Streak!C95:Z95&gt;0))) * 20</f>
      </c>
      <c r="AE94" s="3">
        <f>SUM(AC94:AD94)</f>
      </c>
    </row>
    <row customHeight="true" ht="19" r="95">
      <c r="A95" s="5">
        <v>91</v>
      </c>
      <c r="B95" s="4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7">
        <f>(SUM(C95:Z95))+AE95</f>
      </c>
      <c r="AB95" s="6">
        <v>0</v>
      </c>
      <c r="AC95" s="8">
        <f>MIN(3, SUMPRODUCT((MOD(Streak!C96:Z96,5)=0)*(MOD(Streak!C96:Z96,10)&lt;&gt;0)*(Streak!C96:Z96&gt;0))) * 5</f>
      </c>
      <c r="AD95" s="8">
        <f>MIN(2, SUMPRODUCT((MOD(Streak!C96:Z96,10)=0)*(Streak!C96:Z96&gt;0))) * 20</f>
      </c>
      <c r="AE95" s="3">
        <f>SUM(AC95:AD95)</f>
      </c>
    </row>
    <row customHeight="true" ht="19" r="96">
      <c r="A96" s="5">
        <v>92</v>
      </c>
      <c r="B96" s="4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1</v>
      </c>
      <c r="S96" s="2">
        <v>1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7">
        <f>(SUM(C96:Z96))+AE96</f>
      </c>
      <c r="AB96" s="6">
        <v>0</v>
      </c>
      <c r="AC96" s="8">
        <f>MIN(3, SUMPRODUCT((MOD(Streak!C97:Z97,5)=0)*(MOD(Streak!C97:Z97,10)&lt;&gt;0)*(Streak!C97:Z97&gt;0))) * 5</f>
      </c>
      <c r="AD96" s="8">
        <f>MIN(2, SUMPRODUCT((MOD(Streak!C97:Z97,10)=0)*(Streak!C97:Z97&gt;0))) * 20</f>
      </c>
      <c r="AE96" s="3">
        <f>SUM(AC96:AD96)</f>
      </c>
    </row>
    <row customHeight="true" ht="19" r="97">
      <c r="A97" s="5">
        <v>93</v>
      </c>
      <c r="B97" s="4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7">
        <f>(SUM(C97:Z97))+AE97</f>
      </c>
      <c r="AB97" s="6">
        <v>0</v>
      </c>
      <c r="AC97" s="8">
        <f>MIN(3, SUMPRODUCT((MOD(Streak!C98:Z98,5)=0)*(MOD(Streak!C98:Z98,10)&lt;&gt;0)*(Streak!C98:Z98&gt;0))) * 5</f>
      </c>
      <c r="AD97" s="8">
        <f>MIN(2, SUMPRODUCT((MOD(Streak!C98:Z98,10)=0)*(Streak!C98:Z98&gt;0))) * 20</f>
      </c>
      <c r="AE97" s="3">
        <f>SUM(AC97:AD97)</f>
      </c>
    </row>
    <row customHeight="true" ht="19" r="98">
      <c r="A98" s="5">
        <v>94</v>
      </c>
      <c r="B98" s="4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7">
        <f>(SUM(C98:Z98))+AE98</f>
      </c>
      <c r="AB98" s="6">
        <v>0</v>
      </c>
      <c r="AC98" s="8">
        <f>MIN(3, SUMPRODUCT((MOD(Streak!C99:Z99,5)=0)*(MOD(Streak!C99:Z99,10)&lt;&gt;0)*(Streak!C99:Z99&gt;0))) * 5</f>
      </c>
      <c r="AD98" s="8">
        <f>MIN(2, SUMPRODUCT((MOD(Streak!C99:Z99,10)=0)*(Streak!C99:Z99&gt;0))) * 20</f>
      </c>
      <c r="AE98" s="3">
        <f>SUM(AC98:AD98)</f>
      </c>
    </row>
    <row customHeight="true" ht="19" r="99">
      <c r="A99" s="5">
        <v>95</v>
      </c>
      <c r="B99" s="4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1</v>
      </c>
      <c r="T99" s="2">
        <v>0</v>
      </c>
      <c r="U99" s="2">
        <v>1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7">
        <f>(SUM(C99:Z99))+AE99</f>
      </c>
      <c r="AB99" s="6">
        <v>0</v>
      </c>
      <c r="AC99" s="8">
        <f>MIN(3, SUMPRODUCT((MOD(Streak!C100:Z100,5)=0)*(MOD(Streak!C100:Z100,10)&lt;&gt;0)*(Streak!C100:Z100&gt;0))) * 5</f>
      </c>
      <c r="AD99" s="8">
        <f>MIN(2, SUMPRODUCT((MOD(Streak!C100:Z100,10)=0)*(Streak!C100:Z100&gt;0))) * 20</f>
      </c>
      <c r="AE99" s="3">
        <f>SUM(AC99:AD99)</f>
      </c>
    </row>
    <row customHeight="true" ht="19" r="100">
      <c r="A100" s="5">
        <v>96</v>
      </c>
      <c r="B100" s="4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7">
        <f>(SUM(C100:Z100))+AE100</f>
      </c>
      <c r="AB100" s="6">
        <v>0</v>
      </c>
      <c r="AC100" s="8">
        <f>MIN(3, SUMPRODUCT((MOD(Streak!C101:Z101,5)=0)*(MOD(Streak!C101:Z101,10)&lt;&gt;0)*(Streak!C101:Z101&gt;0))) * 5</f>
      </c>
      <c r="AD100" s="8">
        <f>MIN(2, SUMPRODUCT((MOD(Streak!C101:Z101,10)=0)*(Streak!C101:Z101&gt;0))) * 20</f>
      </c>
      <c r="AE100" s="3">
        <f>SUM(AC100:AD100)</f>
      </c>
    </row>
    <row customHeight="true" ht="19" r="101">
      <c r="A101" s="5">
        <v>97</v>
      </c>
      <c r="B101" s="4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7">
        <f>(SUM(C101:Z101))+AE101</f>
      </c>
      <c r="AB101" s="6">
        <v>0</v>
      </c>
      <c r="AC101" s="8">
        <f>MIN(3, SUMPRODUCT((MOD(Streak!C102:Z102,5)=0)*(MOD(Streak!C102:Z102,10)&lt;&gt;0)*(Streak!C102:Z102&gt;0))) * 5</f>
      </c>
      <c r="AD101" s="8">
        <f>MIN(2, SUMPRODUCT((MOD(Streak!C102:Z102,10)=0)*(Streak!C102:Z102&gt;0))) * 20</f>
      </c>
      <c r="AE101" s="3">
        <f>SUM(AC101:AD101)</f>
      </c>
    </row>
    <row customHeight="true" ht="19" r="102">
      <c r="A102" s="5">
        <v>98</v>
      </c>
      <c r="B102" s="4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1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7">
        <f>(SUM(C102:Z102))+AE102</f>
      </c>
      <c r="AB102" s="6">
        <v>0</v>
      </c>
      <c r="AC102" s="8">
        <f>MIN(3, SUMPRODUCT((MOD(Streak!C103:Z103,5)=0)*(MOD(Streak!C103:Z103,10)&lt;&gt;0)*(Streak!C103:Z103&gt;0))) * 5</f>
      </c>
      <c r="AD102" s="8">
        <f>MIN(2, SUMPRODUCT((MOD(Streak!C103:Z103,10)=0)*(Streak!C103:Z103&gt;0))) * 20</f>
      </c>
      <c r="AE102" s="3">
        <f>SUM(AC102:AD102)</f>
      </c>
    </row>
    <row customHeight="true" ht="19" r="103">
      <c r="A103" s="5">
        <v>99</v>
      </c>
      <c r="B103" s="4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7">
        <f>(SUM(C103:Z103))+AE103</f>
      </c>
      <c r="AB103" s="6">
        <v>0</v>
      </c>
      <c r="AC103" s="8">
        <f>MIN(3, SUMPRODUCT((MOD(Streak!C104:Z104,5)=0)*(MOD(Streak!C104:Z104,10)&lt;&gt;0)*(Streak!C104:Z104&gt;0))) * 5</f>
      </c>
      <c r="AD103" s="8">
        <f>MIN(2, SUMPRODUCT((MOD(Streak!C104:Z104,10)=0)*(Streak!C104:Z104&gt;0))) * 20</f>
      </c>
      <c r="AE103" s="3">
        <f>SUM(AC103:AD103)</f>
      </c>
    </row>
    <row customHeight="true" ht="19" r="104">
      <c r="A104" s="5">
        <v>100</v>
      </c>
      <c r="B104" s="4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1</v>
      </c>
      <c r="P104" s="2">
        <v>0</v>
      </c>
      <c r="Q104" s="2">
        <v>0</v>
      </c>
      <c r="R104" s="2">
        <v>1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7">
        <f>(SUM(C104:Z104))+AE104</f>
      </c>
      <c r="AB104" s="6">
        <v>0</v>
      </c>
      <c r="AC104" s="8">
        <f>MIN(3, SUMPRODUCT((MOD(Streak!C105:Z105,5)=0)*(MOD(Streak!C105:Z105,10)&lt;&gt;0)*(Streak!C105:Z105&gt;0))) * 5</f>
      </c>
      <c r="AD104" s="8">
        <f>MIN(2, SUMPRODUCT((MOD(Streak!C105:Z105,10)=0)*(Streak!C105:Z105&gt;0))) * 20</f>
      </c>
      <c r="AE104" s="3">
        <f>SUM(AC104:AD104)</f>
      </c>
    </row>
    <row customHeight="true" ht="19" r="105">
      <c r="A105" s="5">
        <v>101</v>
      </c>
      <c r="B105" s="4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7">
        <f>(SUM(C105:Z105))+AE105</f>
      </c>
      <c r="AB105" s="6">
        <v>0</v>
      </c>
      <c r="AC105" s="8">
        <f>MIN(3, SUMPRODUCT((MOD(Streak!C106:Z106,5)=0)*(MOD(Streak!C106:Z106,10)&lt;&gt;0)*(Streak!C106:Z106&gt;0))) * 5</f>
      </c>
      <c r="AD105" s="8">
        <f>MIN(2, SUMPRODUCT((MOD(Streak!C106:Z106,10)=0)*(Streak!C106:Z106&gt;0))) * 20</f>
      </c>
      <c r="AE105" s="3">
        <f>SUM(AC105:AD105)</f>
      </c>
    </row>
    <row customHeight="true" ht="19" r="106">
      <c r="A106" s="5">
        <v>102</v>
      </c>
      <c r="B106" s="4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7">
        <f>(SUM(C106:Z106))+AE106</f>
      </c>
      <c r="AB106" s="6">
        <v>0</v>
      </c>
      <c r="AC106" s="8">
        <f>MIN(3, SUMPRODUCT((MOD(Streak!C107:Z107,5)=0)*(MOD(Streak!C107:Z107,10)&lt;&gt;0)*(Streak!C107:Z107&gt;0))) * 5</f>
      </c>
      <c r="AD106" s="8">
        <f>MIN(2, SUMPRODUCT((MOD(Streak!C107:Z107,10)=0)*(Streak!C107:Z107&gt;0))) * 20</f>
      </c>
      <c r="AE106" s="3">
        <f>SUM(AC106:AD106)</f>
      </c>
    </row>
    <row customHeight="true" ht="19" r="107">
      <c r="A107" s="5">
        <v>103</v>
      </c>
      <c r="B107" s="4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7">
        <f>(SUM(C107:Z107))+AE107</f>
      </c>
      <c r="AB107" s="6">
        <v>0</v>
      </c>
      <c r="AC107" s="8">
        <f>MIN(3, SUMPRODUCT((MOD(Streak!C108:Z108,5)=0)*(MOD(Streak!C108:Z108,10)&lt;&gt;0)*(Streak!C108:Z108&gt;0))) * 5</f>
      </c>
      <c r="AD107" s="8">
        <f>MIN(2, SUMPRODUCT((MOD(Streak!C108:Z108,10)=0)*(Streak!C108:Z108&gt;0))) * 20</f>
      </c>
      <c r="AE107" s="3">
        <f>SUM(AC107:AD107)</f>
      </c>
    </row>
    <row customHeight="true" ht="19" r="108">
      <c r="A108" s="5">
        <v>104</v>
      </c>
      <c r="B108" s="4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1</v>
      </c>
      <c r="Q108" s="2">
        <v>0</v>
      </c>
      <c r="R108" s="2">
        <v>1</v>
      </c>
      <c r="S108" s="2">
        <v>1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7">
        <f>(SUM(C108:Z108))+AE108</f>
      </c>
      <c r="AB108" s="6">
        <v>0</v>
      </c>
      <c r="AC108" s="8">
        <f>MIN(3, SUMPRODUCT((MOD(Streak!C109:Z109,5)=0)*(MOD(Streak!C109:Z109,10)&lt;&gt;0)*(Streak!C109:Z109&gt;0))) * 5</f>
      </c>
      <c r="AD108" s="8">
        <f>MIN(2, SUMPRODUCT((MOD(Streak!C109:Z109,10)=0)*(Streak!C109:Z109&gt;0))) * 20</f>
      </c>
      <c r="AE108" s="3">
        <f>SUM(AC108:AD108)</f>
      </c>
    </row>
    <row customHeight="true" ht="19" r="109">
      <c r="A109" s="5">
        <v>105</v>
      </c>
      <c r="B109" s="4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7">
        <f>(SUM(C109:Z109))+AE109</f>
      </c>
      <c r="AB109" s="6">
        <v>0</v>
      </c>
      <c r="AC109" s="8">
        <f>MIN(3, SUMPRODUCT((MOD(Streak!C110:Z110,5)=0)*(MOD(Streak!C110:Z110,10)&lt;&gt;0)*(Streak!C110:Z110&gt;0))) * 5</f>
      </c>
      <c r="AD109" s="8">
        <f>MIN(2, SUMPRODUCT((MOD(Streak!C110:Z110,10)=0)*(Streak!C110:Z110&gt;0))) * 20</f>
      </c>
      <c r="AE109" s="3">
        <f>SUM(AC109:AD109)</f>
      </c>
    </row>
    <row customHeight="true" ht="19" r="110">
      <c r="A110" s="5">
        <v>106</v>
      </c>
      <c r="B110" s="4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1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7">
        <f>(SUM(C110:Z110))+AE110</f>
      </c>
      <c r="AB110" s="6">
        <v>0</v>
      </c>
      <c r="AC110" s="8">
        <f>MIN(3, SUMPRODUCT((MOD(Streak!C111:Z111,5)=0)*(MOD(Streak!C111:Z111,10)&lt;&gt;0)*(Streak!C111:Z111&gt;0))) * 5</f>
      </c>
      <c r="AD110" s="8">
        <f>MIN(2, SUMPRODUCT((MOD(Streak!C111:Z111,10)=0)*(Streak!C111:Z111&gt;0))) * 20</f>
      </c>
      <c r="AE110" s="3">
        <f>SUM(AC110:AD110)</f>
      </c>
    </row>
    <row customHeight="true" ht="19" r="111">
      <c r="A111" s="5">
        <v>107</v>
      </c>
      <c r="B111" s="4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7">
        <f>(SUM(C111:Z111))+AE111</f>
      </c>
      <c r="AB111" s="6">
        <v>0</v>
      </c>
      <c r="AC111" s="8">
        <f>MIN(3, SUMPRODUCT((MOD(Streak!C112:Z112,5)=0)*(MOD(Streak!C112:Z112,10)&lt;&gt;0)*(Streak!C112:Z112&gt;0))) * 5</f>
      </c>
      <c r="AD111" s="8">
        <f>MIN(2, SUMPRODUCT((MOD(Streak!C112:Z112,10)=0)*(Streak!C112:Z112&gt;0))) * 20</f>
      </c>
      <c r="AE111" s="3">
        <f>SUM(AC111:AD111)</f>
      </c>
    </row>
    <row customHeight="true" ht="19" r="112">
      <c r="A112" s="5">
        <v>108</v>
      </c>
      <c r="B112" s="4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7">
        <f>(SUM(C112:Z112))+AE112</f>
      </c>
      <c r="AB112" s="6">
        <v>0</v>
      </c>
      <c r="AC112" s="8">
        <f>MIN(3, SUMPRODUCT((MOD(Streak!C113:Z113,5)=0)*(MOD(Streak!C113:Z113,10)&lt;&gt;0)*(Streak!C113:Z113&gt;0))) * 5</f>
      </c>
      <c r="AD112" s="8">
        <f>MIN(2, SUMPRODUCT((MOD(Streak!C113:Z113,10)=0)*(Streak!C113:Z113&gt;0))) * 20</f>
      </c>
      <c r="AE112" s="3">
        <f>SUM(AC112:AD112)</f>
      </c>
    </row>
    <row customHeight="true" ht="19" r="113">
      <c r="A113" s="5">
        <v>109</v>
      </c>
      <c r="B113" s="4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1</v>
      </c>
      <c r="R113" s="2">
        <v>0</v>
      </c>
      <c r="S113" s="2">
        <v>0</v>
      </c>
      <c r="T113" s="2">
        <v>1</v>
      </c>
      <c r="U113" s="2">
        <v>1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7">
        <f>(SUM(C113:Z113))+AE113</f>
      </c>
      <c r="AB113" s="6">
        <v>0</v>
      </c>
      <c r="AC113" s="8">
        <f>MIN(3, SUMPRODUCT((MOD(Streak!C114:Z114,5)=0)*(MOD(Streak!C114:Z114,10)&lt;&gt;0)*(Streak!C114:Z114&gt;0))) * 5</f>
      </c>
      <c r="AD113" s="8">
        <f>MIN(2, SUMPRODUCT((MOD(Streak!C114:Z114,10)=0)*(Streak!C114:Z114&gt;0))) * 20</f>
      </c>
      <c r="AE113" s="3">
        <f>SUM(AC113:AD113)</f>
      </c>
    </row>
    <row customHeight="true" ht="19" r="114">
      <c r="A114" s="5">
        <v>110</v>
      </c>
      <c r="B114" s="4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7">
        <f>(SUM(C114:Z114))+AE114</f>
      </c>
      <c r="AB114" s="6">
        <v>0</v>
      </c>
      <c r="AC114" s="8">
        <f>MIN(3, SUMPRODUCT((MOD(Streak!C115:Z115,5)=0)*(MOD(Streak!C115:Z115,10)&lt;&gt;0)*(Streak!C115:Z115&gt;0))) * 5</f>
      </c>
      <c r="AD114" s="8">
        <f>MIN(2, SUMPRODUCT((MOD(Streak!C115:Z115,10)=0)*(Streak!C115:Z115&gt;0))) * 20</f>
      </c>
      <c r="AE114" s="3">
        <f>SUM(AC114:AD114)</f>
      </c>
    </row>
    <row customHeight="true" ht="19" r="115">
      <c r="A115" s="5">
        <v>111</v>
      </c>
      <c r="B115" s="4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7">
        <f>(SUM(C115:Z115))+AE115</f>
      </c>
      <c r="AB115" s="6">
        <v>0</v>
      </c>
      <c r="AC115" s="8">
        <f>MIN(3, SUMPRODUCT((MOD(Streak!C116:Z116,5)=0)*(MOD(Streak!C116:Z116,10)&lt;&gt;0)*(Streak!C116:Z116&gt;0))) * 5</f>
      </c>
      <c r="AD115" s="8">
        <f>MIN(2, SUMPRODUCT((MOD(Streak!C116:Z116,10)=0)*(Streak!C116:Z116&gt;0))) * 20</f>
      </c>
      <c r="AE115" s="3">
        <f>SUM(AC115:AD115)</f>
      </c>
    </row>
    <row customHeight="true" ht="19" r="116">
      <c r="A116" s="5">
        <v>112</v>
      </c>
      <c r="B116" s="4" t="str">
        <v>Kayden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7">
        <f>(SUM(C116:Z116))+AE116</f>
      </c>
      <c r="AB116" s="6">
        <v>0</v>
      </c>
      <c r="AC116" s="8">
        <f>MIN(3, SUMPRODUCT((MOD(Streak!C117:Z117,5)=0)*(MOD(Streak!C117:Z117,10)&lt;&gt;0)*(Streak!C117:Z117&gt;0))) * 5</f>
      </c>
      <c r="AD116" s="8">
        <f>MIN(2, SUMPRODUCT((MOD(Streak!C117:Z117,10)=0)*(Streak!C117:Z117&gt;0))) * 20</f>
      </c>
      <c r="AE116" s="3">
        <f>SUM(AC116:AD116)</f>
      </c>
    </row>
    <row customHeight="true" ht="19" r="117">
      <c r="A117" s="5">
        <v>113</v>
      </c>
      <c r="B117" s="4" t="str">
        <v>Dhoni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7">
        <f>(SUM(C117:Z117))+AE117</f>
      </c>
      <c r="AB117" s="6">
        <v>0</v>
      </c>
      <c r="AC117" s="8">
        <f>MIN(3, SUMPRODUCT((MOD(Streak!C118:Z118,5)=0)*(MOD(Streak!C118:Z118,10)&lt;&gt;0)*(Streak!C118:Z118&gt;0))) * 5</f>
      </c>
      <c r="AD117" s="8">
        <f>MIN(2, SUMPRODUCT((MOD(Streak!C118:Z118,10)=0)*(Streak!C118:Z118&gt;0))) * 20</f>
      </c>
      <c r="AE117" s="3">
        <f>SUM(AC117:AD117)</f>
      </c>
    </row>
    <row customHeight="true" ht="19" r="118">
      <c r="A118" s="5">
        <v>114</v>
      </c>
      <c r="B118" s="4" t="str">
        <v>Si Tampan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7">
        <f>(SUM(C118:Z118))+AE118</f>
      </c>
      <c r="AB118" s="6">
        <v>0</v>
      </c>
      <c r="AC118" s="8">
        <f>MIN(3, SUMPRODUCT((MOD(Streak!C119:Z119,5)=0)*(MOD(Streak!C119:Z119,10)&lt;&gt;0)*(Streak!C119:Z119&gt;0))) * 5</f>
      </c>
      <c r="AD118" s="8">
        <f>MIN(2, SUMPRODUCT((MOD(Streak!C119:Z119,10)=0)*(Streak!C119:Z119&gt;0))) * 20</f>
      </c>
      <c r="AE118" s="3">
        <f>SUM(AC118:AD118)</f>
      </c>
    </row>
    <row customHeight="true" ht="19" r="119">
      <c r="A119" s="5">
        <v>115</v>
      </c>
      <c r="B119" s="4" t="str">
        <v>Harly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7">
        <f>(SUM(C119:Z119))+AE119</f>
      </c>
      <c r="AB119" s="6">
        <v>0</v>
      </c>
      <c r="AC119" s="8">
        <f>MIN(3, SUMPRODUCT((MOD(Streak!C120:Z120,5)=0)*(MOD(Streak!C120:Z120,10)&lt;&gt;0)*(Streak!C120:Z120&gt;0))) * 5</f>
      </c>
      <c r="AD119" s="8">
        <f>MIN(2, SUMPRODUCT((MOD(Streak!C120:Z120,10)=0)*(Streak!C120:Z120&gt;0))) * 20</f>
      </c>
      <c r="AE119" s="3">
        <f>SUM(AC119:AD119)</f>
      </c>
    </row>
    <row customHeight="true" ht="19" r="120">
      <c r="A120" s="5">
        <v>116</v>
      </c>
      <c r="B120" s="4" t="str">
        <v>Raki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7">
        <f>(SUM(C120:Z120))+AE120</f>
      </c>
      <c r="AB120" s="6">
        <v>0</v>
      </c>
      <c r="AC120" s="8">
        <f>MIN(3, SUMPRODUCT((MOD(Streak!C121:Z121,5)=0)*(MOD(Streak!C121:Z121,10)&lt;&gt;0)*(Streak!C121:Z121&gt;0))) * 5</f>
      </c>
      <c r="AD120" s="8">
        <f>MIN(2, SUMPRODUCT((MOD(Streak!C121:Z121,10)=0)*(Streak!C121:Z121&gt;0))) * 20</f>
      </c>
      <c r="AE120" s="3">
        <f>SUM(AC120:AD120)</f>
      </c>
    </row>
    <row customHeight="true" ht="19" r="121">
      <c r="A121" s="5">
        <v>117</v>
      </c>
      <c r="B121" s="4" t="str">
        <v>winner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7">
        <f>(SUM(C121:Z121))+AE121</f>
      </c>
      <c r="AB121" s="6">
        <v>0</v>
      </c>
      <c r="AC121" s="8">
        <f>MIN(3, SUMPRODUCT((MOD(Streak!C122:Z122,5)=0)*(MOD(Streak!C122:Z122,10)&lt;&gt;0)*(Streak!C122:Z122&gt;0))) * 5</f>
      </c>
      <c r="AD121" s="8">
        <f>MIN(2, SUMPRODUCT((MOD(Streak!C122:Z122,10)=0)*(Streak!C122:Z122&gt;0))) * 20</f>
      </c>
      <c r="AE121" s="3">
        <f>SUM(AC121:AD121)</f>
      </c>
    </row>
    <row customHeight="true" ht="19" r="122">
      <c r="A122" s="5">
        <v>118</v>
      </c>
      <c r="B122" s="4" t="str">
        <v>wolvyzz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1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7">
        <f>(SUM(C122:Z122))+AE122</f>
      </c>
      <c r="AB122" s="6">
        <v>0</v>
      </c>
      <c r="AC122" s="8">
        <f>MIN(3, SUMPRODUCT((MOD(Streak!C123:Z123,5)=0)*(MOD(Streak!C123:Z123,10)&lt;&gt;0)*(Streak!C123:Z123&gt;0))) * 5</f>
      </c>
      <c r="AD122" s="8">
        <f>MIN(2, SUMPRODUCT((MOD(Streak!C123:Z123,10)=0)*(Streak!C123:Z123&gt;0))) * 20</f>
      </c>
      <c r="AE122" s="3">
        <f>SUM(AC122:AD122)</f>
      </c>
    </row>
    <row customHeight="true" ht="19" r="123">
      <c r="A123" s="5">
        <v>119</v>
      </c>
      <c r="B123" s="4" t="str">
        <v>Aceng Ceng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1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7">
        <f>(SUM(C123:Z123))+AE123</f>
      </c>
      <c r="AB123" s="6">
        <v>0</v>
      </c>
      <c r="AC123" s="8">
        <f>MIN(3, SUMPRODUCT((MOD(Streak!C124:Z124,5)=0)*(MOD(Streak!C124:Z124,10)&lt;&gt;0)*(Streak!C124:Z124&gt;0))) * 5</f>
      </c>
      <c r="AD123" s="8">
        <f>MIN(2, SUMPRODUCT((MOD(Streak!C124:Z124,10)=0)*(Streak!C124:Z124&gt;0))) * 20</f>
      </c>
      <c r="AE123" s="3">
        <f>SUM(AC123:AD123)</f>
      </c>
    </row>
    <row customHeight="true" ht="19" r="124">
      <c r="A124" s="5">
        <v>120</v>
      </c>
      <c r="B124" s="4" t="str">
        <v>Truk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1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7">
        <f>(SUM(C124:Z124))+AE124</f>
      </c>
      <c r="AB124" s="6">
        <v>0</v>
      </c>
      <c r="AC124" s="8">
        <f>MIN(3, SUMPRODUCT((MOD(Streak!C125:Z125,5)=0)*(MOD(Streak!C125:Z125,10)&lt;&gt;0)*(Streak!C125:Z125&gt;0))) * 5</f>
      </c>
      <c r="AD124" s="8">
        <f>MIN(2, SUMPRODUCT((MOD(Streak!C125:Z125,10)=0)*(Streak!C125:Z125&gt;0))) * 20</f>
      </c>
      <c r="AE124" s="3">
        <f>SUM(AC124:AD124)</f>
      </c>
    </row>
    <row customHeight="true" ht="19" r="125">
      <c r="A125" s="5">
        <v>121</v>
      </c>
      <c r="B125" s="4" t="str">
        <v>Rachel Kurniawati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1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7">
        <f>(SUM(C125:Z125))+AE125</f>
      </c>
      <c r="AB125" s="6">
        <v>0</v>
      </c>
      <c r="AC125" s="8">
        <f>MIN(3, SUMPRODUCT((MOD(Streak!C126:Z126,5)=0)*(MOD(Streak!C126:Z126,10)&lt;&gt;0)*(Streak!C126:Z126&gt;0))) * 5</f>
      </c>
      <c r="AD125" s="8">
        <f>MIN(2, SUMPRODUCT((MOD(Streak!C126:Z126,10)=0)*(Streak!C126:Z126&gt;0))) * 20</f>
      </c>
      <c r="AE125" s="3">
        <f>SUM(AC125:AD125)</f>
      </c>
    </row>
    <row customHeight="true" ht="19" r="126">
      <c r="A126" s="5">
        <v>122</v>
      </c>
      <c r="B126" s="4" t="str">
        <v>Etiarni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1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7">
        <f>(SUM(C126:Z126))+AE126</f>
      </c>
      <c r="AB126" s="6">
        <v>0</v>
      </c>
      <c r="AC126" s="8">
        <f>MIN(3, SUMPRODUCT((MOD(Streak!C127:Z127,5)=0)*(MOD(Streak!C127:Z127,10)&lt;&gt;0)*(Streak!C127:Z127&gt;0))) * 5</f>
      </c>
      <c r="AD126" s="8">
        <f>MIN(2, SUMPRODUCT((MOD(Streak!C127:Z127,10)=0)*(Streak!C127:Z127&gt;0))) * 20</f>
      </c>
      <c r="AE126" s="3">
        <f>SUM(AC126:AD126)</f>
      </c>
    </row>
    <row customHeight="true" ht="19" r="127">
      <c r="A127" s="5">
        <v>123</v>
      </c>
      <c r="B127" s="4" t="str">
        <v>Dwiyan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1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7">
        <f>(SUM(C127:Z127))+AE127</f>
      </c>
      <c r="AB127" s="6">
        <v>0</v>
      </c>
      <c r="AC127" s="8">
        <f>MIN(3, SUMPRODUCT((MOD(Streak!C128:Z128,5)=0)*(MOD(Streak!C128:Z128,10)&lt;&gt;0)*(Streak!C128:Z128&gt;0))) * 5</f>
      </c>
      <c r="AD127" s="8">
        <f>MIN(2, SUMPRODUCT((MOD(Streak!C128:Z128,10)=0)*(Streak!C128:Z128&gt;0))) * 20</f>
      </c>
      <c r="AE127" s="3">
        <f>SUM(AC127:AD127)</f>
      </c>
    </row>
    <row customHeight="true" ht="19" r="128">
      <c r="A128" s="5">
        <v>124</v>
      </c>
      <c r="B128" s="4" t="str">
        <v>Dek.Bilqis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1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7">
        <f>(SUM(C128:Z128))+AE128</f>
      </c>
      <c r="AB128" s="6">
        <v>0</v>
      </c>
      <c r="AC128" s="8">
        <f>MIN(3, SUMPRODUCT((MOD(Streak!C129:Z129,5)=0)*(MOD(Streak!C129:Z129,10)&lt;&gt;0)*(Streak!C129:Z129&gt;0))) * 5</f>
      </c>
      <c r="AD128" s="8">
        <f>MIN(2, SUMPRODUCT((MOD(Streak!C129:Z129,10)=0)*(Streak!C129:Z129&gt;0))) * 20</f>
      </c>
      <c r="AE128" s="3">
        <f>SUM(AC128:AD128)</f>
      </c>
    </row>
    <row customHeight="true" ht="19" r="129">
      <c r="A129" s="5">
        <v>125</v>
      </c>
      <c r="B129" s="4" t="str">
        <v>apink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1</v>
      </c>
      <c r="Q129" s="2">
        <v>1</v>
      </c>
      <c r="R129" s="2">
        <v>1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7">
        <f>(SUM(C129:Z129))+AE129</f>
      </c>
      <c r="AB129" s="6">
        <v>0</v>
      </c>
      <c r="AC129" s="8">
        <f>MIN(3, SUMPRODUCT((MOD(Streak!C130:Z130,5)=0)*(MOD(Streak!C130:Z130,10)&lt;&gt;0)*(Streak!C130:Z130&gt;0))) * 5</f>
      </c>
      <c r="AD129" s="8">
        <f>MIN(2, SUMPRODUCT((MOD(Streak!C130:Z130,10)=0)*(Streak!C130:Z130&gt;0))) * 20</f>
      </c>
      <c r="AE129" s="3">
        <f>SUM(AC129:AD129)</f>
      </c>
    </row>
    <row customHeight="true" ht="19" r="130">
      <c r="A130" s="5">
        <v>126</v>
      </c>
      <c r="B130" s="4" t="str">
        <v>FriskaWS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1</v>
      </c>
      <c r="R130" s="2">
        <v>1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7">
        <f>(SUM(C130:Z130))+AE130</f>
      </c>
      <c r="AB130" s="6">
        <v>0</v>
      </c>
      <c r="AC130" s="8">
        <f>MIN(3, SUMPRODUCT((MOD(Streak!C131:Z131,5)=0)*(MOD(Streak!C131:Z131,10)&lt;&gt;0)*(Streak!C131:Z131&gt;0))) * 5</f>
      </c>
      <c r="AD130" s="8">
        <f>MIN(2, SUMPRODUCT((MOD(Streak!C131:Z131,10)=0)*(Streak!C131:Z131&gt;0))) * 20</f>
      </c>
      <c r="AE130" s="3">
        <f>SUM(AC130:AD130)</f>
      </c>
    </row>
    <row customHeight="true" ht="19" r="131">
      <c r="A131" s="5">
        <v>127</v>
      </c>
      <c r="B131" s="4" t="str">
        <v>Scucum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1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7">
        <f>(SUM(C131:Z131))+AE131</f>
      </c>
      <c r="AB131" s="6">
        <v>0</v>
      </c>
      <c r="AC131" s="8">
        <f>MIN(3, SUMPRODUCT((MOD(Streak!C132:Z132,5)=0)*(MOD(Streak!C132:Z132,10)&lt;&gt;0)*(Streak!C132:Z132&gt;0))) * 5</f>
      </c>
      <c r="AD131" s="8">
        <f>MIN(2, SUMPRODUCT((MOD(Streak!C132:Z132,10)=0)*(Streak!C132:Z132&gt;0))) * 20</f>
      </c>
      <c r="AE131" s="3">
        <f>SUM(AC131:AD131)</f>
      </c>
    </row>
    <row customHeight="true" ht="19" r="132">
      <c r="A132" s="5">
        <v>128</v>
      </c>
      <c r="B132" s="4" t="str">
        <v>Loeimoy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1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7">
        <f>(SUM(C132:Z132))+AE132</f>
      </c>
      <c r="AB132" s="6">
        <v>0</v>
      </c>
      <c r="AC132" s="8">
        <f>MIN(3, SUMPRODUCT((MOD(Streak!C133:Z133,5)=0)*(MOD(Streak!C133:Z133,10)&lt;&gt;0)*(Streak!C133:Z133&gt;0))) * 5</f>
      </c>
      <c r="AD132" s="8">
        <f>MIN(2, SUMPRODUCT((MOD(Streak!C133:Z133,10)=0)*(Streak!C133:Z133&gt;0))) * 20</f>
      </c>
      <c r="AE132" s="3">
        <f>SUM(AC132:AD132)</f>
      </c>
    </row>
    <row customHeight="true" ht="19" r="133">
      <c r="A133" s="5">
        <v>129</v>
      </c>
      <c r="B133" s="4" t="str">
        <v>Gilang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1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7">
        <f>(SUM(C133:Z133))+AE133</f>
      </c>
      <c r="AB133" s="6">
        <v>0</v>
      </c>
      <c r="AC133" s="8">
        <f>MIN(3, SUMPRODUCT((MOD(Streak!C134:Z134,5)=0)*(MOD(Streak!C134:Z134,10)&lt;&gt;0)*(Streak!C134:Z134&gt;0))) * 5</f>
      </c>
      <c r="AD133" s="8">
        <f>MIN(2, SUMPRODUCT((MOD(Streak!C134:Z134,10)=0)*(Streak!C134:Z134&gt;0))) * 20</f>
      </c>
      <c r="AE133" s="3">
        <f>SUM(AC133:AD133)</f>
      </c>
    </row>
    <row customHeight="true" ht="19" r="134">
      <c r="A134" s="5">
        <v>130</v>
      </c>
      <c r="B134" s="4" t="str">
        <v>Akbar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7">
        <f>(SUM(C134:Z134))+AE134</f>
      </c>
      <c r="AB134" s="6">
        <v>0</v>
      </c>
      <c r="AC134" s="8">
        <f>MIN(3, SUMPRODUCT((MOD(Streak!C135:Z135,5)=0)*(MOD(Streak!C135:Z135,10)&lt;&gt;0)*(Streak!C135:Z135&gt;0))) * 5</f>
      </c>
      <c r="AD134" s="8">
        <f>MIN(2, SUMPRODUCT((MOD(Streak!C135:Z135,10)=0)*(Streak!C135:Z135&gt;0))) * 20</f>
      </c>
      <c r="AE134" s="3">
        <f>SUM(AC134:AD134)</f>
      </c>
    </row>
    <row customHeight="true" ht="19" r="135">
      <c r="A135" s="5">
        <v>131</v>
      </c>
      <c r="B135" s="4" t="str" xml:space="preserve">
        <v>zUAGBiwi 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1</v>
      </c>
      <c r="S135" s="2">
        <v>1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7">
        <f>(SUM(C135:Z135))+AE135</f>
      </c>
      <c r="AB135" s="6">
        <v>0</v>
      </c>
      <c r="AC135" s="8">
        <f>MIN(3, SUMPRODUCT((MOD(Streak!C136:Z136,5)=0)*(MOD(Streak!C136:Z136,10)&lt;&gt;0)*(Streak!C136:Z136&gt;0))) * 5</f>
      </c>
      <c r="AD135" s="8">
        <f>MIN(2, SUMPRODUCT((MOD(Streak!C136:Z136,10)=0)*(Streak!C136:Z136&gt;0))) * 20</f>
      </c>
      <c r="AE135" s="3">
        <f>SUM(AC135:AD135)</f>
      </c>
    </row>
    <row customHeight="true" ht="19" r="136">
      <c r="A136" s="5">
        <v>132</v>
      </c>
      <c r="B136" s="4" t="str">
        <v>Nedy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1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7">
        <f>(SUM(C136:Z136))+AE136</f>
      </c>
      <c r="AB136" s="6">
        <v>0</v>
      </c>
      <c r="AC136" s="8">
        <f>MIN(3, SUMPRODUCT((MOD(Streak!C137:Z137,5)=0)*(MOD(Streak!C137:Z137,10)&lt;&gt;0)*(Streak!C137:Z137&gt;0))) * 5</f>
      </c>
      <c r="AD136" s="8">
        <f>MIN(2, SUMPRODUCT((MOD(Streak!C137:Z137,10)=0)*(Streak!C137:Z137&gt;0))) * 20</f>
      </c>
      <c r="AE136" s="3">
        <f>SUM(AC136:AD136)</f>
      </c>
    </row>
    <row customHeight="true" ht="19" r="137">
      <c r="A137" s="5">
        <v>133</v>
      </c>
      <c r="B137" s="4" t="str">
        <v>#25</v>
      </c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1</v>
      </c>
      <c r="T137" s="2">
        <v>0</v>
      </c>
      <c r="U137" s="2">
        <v>1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7">
        <f>(SUM(C137:Z137))+AE137</f>
      </c>
      <c r="AB137" s="6">
        <v>0</v>
      </c>
      <c r="AC137" s="8">
        <f>MIN(3, SUMPRODUCT((MOD(Streak!C138:Z138,5)=0)*(MOD(Streak!C138:Z138,10)&lt;&gt;0)*(Streak!C138:Z138&gt;0))) * 5</f>
      </c>
      <c r="AD137" s="8">
        <f>MIN(2, SUMPRODUCT((MOD(Streak!C138:Z138,10)=0)*(Streak!C138:Z138&gt;0))) * 20</f>
      </c>
      <c r="AE137" s="3">
        <f>SUM(AC137:AD137)</f>
      </c>
    </row>
    <row customHeight="true" ht="19" r="138">
      <c r="A138" s="5">
        <v>134</v>
      </c>
      <c r="B138" s="4" t="str">
        <v>Andrew</v>
      </c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1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7">
        <f>(SUM(C138:Z138))+AE138</f>
      </c>
      <c r="AB138" s="6">
        <v>0</v>
      </c>
      <c r="AC138" s="8">
        <f>MIN(3, SUMPRODUCT((MOD(Streak!C139:Z139,5)=0)*(MOD(Streak!C139:Z139,10)&lt;&gt;0)*(Streak!C139:Z139&gt;0))) * 5</f>
      </c>
      <c r="AD138" s="8">
        <f>MIN(2, SUMPRODUCT((MOD(Streak!C139:Z139,10)=0)*(Streak!C139:Z139&gt;0))) * 20</f>
      </c>
      <c r="AE138" s="3">
        <f>SUM(AC138:AD138)</f>
      </c>
    </row>
    <row customHeight="true" ht="19" r="139">
      <c r="A139" s="5">
        <v>134</v>
      </c>
      <c r="B139" s="4" t="str">
        <v>Ryo Reborn</v>
      </c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1</v>
      </c>
      <c r="T139" s="2">
        <v>1</v>
      </c>
      <c r="U139" s="2">
        <v>1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7">
        <f>(SUM(C139:Z139))+AE139</f>
      </c>
      <c r="AB139" s="6">
        <v>0</v>
      </c>
      <c r="AC139" s="8">
        <f>MIN(3, SUMPRODUCT((MOD(Streak!C140:Z140,5)=0)*(MOD(Streak!C140:Z140,10)&lt;&gt;0)*(Streak!C140:Z140&gt;0))) * 5</f>
      </c>
      <c r="AD139" s="8">
        <f>MIN(2, SUMPRODUCT((MOD(Streak!C140:Z140,10)=0)*(Streak!C140:Z140&gt;0))) * 20</f>
      </c>
      <c r="AE139" s="3">
        <f>SUM(AC139:AD139)</f>
      </c>
    </row>
    <row customHeight="true" ht="19" r="140">
      <c r="A140" s="5"/>
      <c r="B140" s="4" t="str">
        <v>Threee13</v>
      </c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1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7">
        <f>(SUM(C140:Z140))+AE140</f>
      </c>
      <c r="AB140" s="6">
        <v>0</v>
      </c>
      <c r="AC140" s="8">
        <f>MIN(3, SUMPRODUCT((MOD(Streak!C141:Z141,5)=0)*(MOD(Streak!C141:Z141,10)&lt;&gt;0)*(Streak!C141:Z141&gt;0))) * 5</f>
      </c>
      <c r="AD140" s="8">
        <f>MIN(2, SUMPRODUCT((MOD(Streak!C141:Z141,10)=0)*(Streak!C141:Z141&gt;0))) * 20</f>
      </c>
      <c r="AE140" s="3">
        <f>SUM(AC140:AD140)</f>
      </c>
    </row>
    <row customHeight="true" ht="19" r="141">
      <c r="A141" s="5"/>
      <c r="B141" s="4" t="str">
        <v>Antonio</v>
      </c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1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7">
        <f>(SUM(C141:Z141))+AE141</f>
      </c>
      <c r="AB141" s="6">
        <v>0</v>
      </c>
      <c r="AC141" s="8">
        <f>MIN(3, SUMPRODUCT((MOD(Streak!C142:Z142,5)=0)*(MOD(Streak!C142:Z142,10)&lt;&gt;0)*(Streak!C142:Z142&gt;0))) * 5</f>
      </c>
      <c r="AD141" s="8">
        <f>MIN(2, SUMPRODUCT((MOD(Streak!C142:Z142,10)=0)*(Streak!C142:Z142&gt;0))) * 20</f>
      </c>
      <c r="AE141" s="3">
        <f>SUM(AC141:AD141)</f>
      </c>
    </row>
    <row customHeight="true" ht="19" r="142">
      <c r="A142" s="5"/>
      <c r="B142" s="4" t="str">
        <v>Priyanto</v>
      </c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1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7">
        <f>(SUM(C142:Z142))+AE142</f>
      </c>
      <c r="AB142" s="6">
        <v>0</v>
      </c>
      <c r="AC142" s="8">
        <f>MIN(3, SUMPRODUCT((MOD(Streak!C143:Z143,5)=0)*(MOD(Streak!C143:Z143,10)&lt;&gt;0)*(Streak!C143:Z143&gt;0))) * 5</f>
      </c>
      <c r="AD142" s="8">
        <f>MIN(2, SUMPRODUCT((MOD(Streak!C143:Z143,10)=0)*(Streak!C143:Z143&gt;0))) * 20</f>
      </c>
      <c r="AE142" s="3">
        <f>SUM(AC142:AD142)</f>
      </c>
    </row>
    <row customHeight="true" ht="19" r="143">
      <c r="A143" s="5"/>
      <c r="B143" s="4" t="str">
        <v>Tyo</v>
      </c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1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7">
        <f>(SUM(C143:Z143))+AE143</f>
      </c>
      <c r="AB143" s="6">
        <v>0</v>
      </c>
      <c r="AC143" s="8">
        <f>MIN(3, SUMPRODUCT((MOD(Streak!C144:Z144,5)=0)*(MOD(Streak!C144:Z144,10)&lt;&gt;0)*(Streak!C144:Z144&gt;0))) * 5</f>
      </c>
      <c r="AD143" s="8">
        <f>MIN(2, SUMPRODUCT((MOD(Streak!C144:Z144,10)=0)*(Streak!C144:Z144&gt;0))) * 20</f>
      </c>
      <c r="AE143" s="3">
        <f>SUM(AC143:AD143)</f>
      </c>
    </row>
    <row customHeight="true" ht="19" r="144">
      <c r="A144" s="5"/>
      <c r="B144" s="4" t="str">
        <v>sfgdhd</v>
      </c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1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7">
        <f>(SUM(C144:Z144))+AE144</f>
      </c>
      <c r="AB144" s="6">
        <v>0</v>
      </c>
      <c r="AC144" s="8">
        <f>MIN(3, SUMPRODUCT((MOD(Streak!C145:Z145,5)=0)*(MOD(Streak!C145:Z145,10)&lt;&gt;0)*(Streak!C145:Z145&gt;0))) * 5</f>
      </c>
      <c r="AD144" s="8">
        <f>MIN(2, SUMPRODUCT((MOD(Streak!C145:Z145,10)=0)*(Streak!C145:Z145&gt;0))) * 20</f>
      </c>
      <c r="AE144" s="3">
        <f>SUM(AC144:AD144)</f>
      </c>
    </row>
    <row customHeight="true" ht="19" r="145">
      <c r="A145" s="5"/>
      <c r="B145" s="4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7">
        <f>(SUM(C145:Z145))+AE145</f>
      </c>
      <c r="AB145" s="6">
        <v>0</v>
      </c>
      <c r="AC145" s="8">
        <f>MIN(3, SUMPRODUCT((MOD(Streak!C146:Z146,5)=0)*(MOD(Streak!C146:Z146,10)&lt;&gt;0)*(Streak!C146:Z146&gt;0))) * 5</f>
      </c>
      <c r="AD145" s="8">
        <f>MIN(2, SUMPRODUCT((MOD(Streak!C146:Z146,10)=0)*(Streak!C146:Z146&gt;0))) * 20</f>
      </c>
      <c r="AE145" s="3">
        <f>SUM(AC145:AD145)</f>
      </c>
    </row>
    <row customHeight="true" ht="19" r="146">
      <c r="A146" s="5"/>
      <c r="B146" s="4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7">
        <f>(SUM(C146:Z146))+AE146</f>
      </c>
      <c r="AB146" s="6">
        <v>0</v>
      </c>
      <c r="AC146" s="8">
        <f>MIN(3, SUMPRODUCT((MOD(Streak!C147:Z147,5)=0)*(MOD(Streak!C147:Z147,10)&lt;&gt;0)*(Streak!C147:Z147&gt;0))) * 5</f>
      </c>
      <c r="AD146" s="8">
        <f>MIN(2, SUMPRODUCT((MOD(Streak!C147:Z147,10)=0)*(Streak!C147:Z147&gt;0))) * 20</f>
      </c>
      <c r="AE146" s="3">
        <f>SUM(AC146:AD146)</f>
      </c>
    </row>
    <row customHeight="true" ht="19" r="147">
      <c r="A147" s="5"/>
      <c r="B147" s="4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7">
        <f>(SUM(C147:Z147))+AE147</f>
      </c>
      <c r="AB147" s="6">
        <v>0</v>
      </c>
      <c r="AC147" s="8">
        <f>MIN(3, SUMPRODUCT((MOD(Streak!C148:Z148,5)=0)*(MOD(Streak!C148:Z148,10)&lt;&gt;0)*(Streak!C148:Z148&gt;0))) * 5</f>
      </c>
      <c r="AD147" s="8">
        <f>MIN(2, SUMPRODUCT((MOD(Streak!C148:Z148,10)=0)*(Streak!C148:Z148&gt;0))) * 20</f>
      </c>
      <c r="AE147" s="3">
        <f>SUM(AC147:AD147)</f>
      </c>
    </row>
    <row customHeight="true" ht="19" r="148">
      <c r="A148" s="5"/>
      <c r="B148" s="4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7">
        <f>(SUM(C148:Z148))+AE148</f>
      </c>
      <c r="AB148" s="6">
        <v>0</v>
      </c>
      <c r="AC148" s="8">
        <f>MIN(3, SUMPRODUCT((MOD(Streak!C149:Z149,5)=0)*(MOD(Streak!C149:Z149,10)&lt;&gt;0)*(Streak!C149:Z149&gt;0))) * 5</f>
      </c>
      <c r="AD148" s="8">
        <f>MIN(2, SUMPRODUCT((MOD(Streak!C149:Z149,10)=0)*(Streak!C149:Z149&gt;0))) * 20</f>
      </c>
      <c r="AE148" s="3">
        <f>SUM(AC148:AD148)</f>
      </c>
    </row>
    <row customHeight="true" ht="19" r="149">
      <c r="A149" s="5"/>
      <c r="B149" s="4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7">
        <f>(SUM(C149:Z149))+AE149</f>
      </c>
      <c r="AB149" s="6">
        <v>0</v>
      </c>
      <c r="AC149" s="8">
        <f>MIN(3, SUMPRODUCT((MOD(Streak!C150:Z150,5)=0)*(MOD(Streak!C150:Z150,10)&lt;&gt;0)*(Streak!C150:Z150&gt;0))) * 5</f>
      </c>
      <c r="AD149" s="8">
        <f>MIN(2, SUMPRODUCT((MOD(Streak!C150:Z150,10)=0)*(Streak!C150:Z150&gt;0))) * 20</f>
      </c>
      <c r="AE149" s="3">
        <f>SUM(AC149:AD149)</f>
      </c>
    </row>
    <row customHeight="true" ht="19" r="150">
      <c r="A150" s="5"/>
      <c r="B150" s="4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7">
        <f>(SUM(C150:Z150))+AE150</f>
      </c>
      <c r="AB150" s="6">
        <v>0</v>
      </c>
      <c r="AC150" s="8">
        <f>MIN(3, SUMPRODUCT((MOD(Streak!C151:Z151,5)=0)*(MOD(Streak!C151:Z151,10)&lt;&gt;0)*(Streak!C151:Z151&gt;0))) * 5</f>
      </c>
      <c r="AD150" s="8">
        <f>MIN(2, SUMPRODUCT((MOD(Streak!C151:Z151,10)=0)*(Streak!C151:Z151&gt;0))) * 20</f>
      </c>
      <c r="AE150" s="3">
        <f>SUM(AC150:AD150)</f>
      </c>
    </row>
    <row customHeight="true" ht="19" r="151">
      <c r="A151" s="5"/>
      <c r="B151" s="4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7">
        <f>(SUM(C151:Z151))+AE151</f>
      </c>
      <c r="AB151" s="6">
        <v>0</v>
      </c>
      <c r="AC151" s="8">
        <f>MIN(3, SUMPRODUCT((MOD(Streak!C152:Z152,5)=0)*(MOD(Streak!C152:Z152,10)&lt;&gt;0)*(Streak!C152:Z152&gt;0))) * 5</f>
      </c>
      <c r="AD151" s="8">
        <f>MIN(2, SUMPRODUCT((MOD(Streak!C152:Z152,10)=0)*(Streak!C152:Z152&gt;0))) * 20</f>
      </c>
      <c r="AE151" s="3">
        <f>SUM(AC151:AD151)</f>
      </c>
    </row>
    <row customHeight="true" ht="19" r="152">
      <c r="A152" s="5"/>
      <c r="B152" s="4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7">
        <f>(SUM(C152:Z152))+AE152</f>
      </c>
      <c r="AB152" s="6">
        <v>0</v>
      </c>
      <c r="AC152" s="8">
        <f>MIN(3, SUMPRODUCT((MOD(Streak!C153:Z153,5)=0)*(MOD(Streak!C153:Z153,10)&lt;&gt;0)*(Streak!C153:Z153&gt;0))) * 5</f>
      </c>
      <c r="AD152" s="8">
        <f>MIN(2, SUMPRODUCT((MOD(Streak!C153:Z153,10)=0)*(Streak!C153:Z153&gt;0))) * 20</f>
      </c>
      <c r="AE152" s="3">
        <f>SUM(AC152:AD152)</f>
      </c>
    </row>
    <row customHeight="true" ht="19" r="153">
      <c r="A153" s="5"/>
      <c r="B153" s="4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7">
        <f>(SUM(C153:Z153))+AE153</f>
      </c>
      <c r="AB153" s="6">
        <v>0</v>
      </c>
      <c r="AC153" s="8">
        <f>MIN(3, SUMPRODUCT((MOD(Streak!C154:Z154,5)=0)*(MOD(Streak!C154:Z154,10)&lt;&gt;0)*(Streak!C154:Z154&gt;0))) * 5</f>
      </c>
      <c r="AD153" s="8">
        <f>MIN(2, SUMPRODUCT((MOD(Streak!C154:Z154,10)=0)*(Streak!C154:Z154&gt;0))) * 20</f>
      </c>
      <c r="AE153" s="3">
        <f>SUM(AC153:AD153)</f>
      </c>
    </row>
    <row customHeight="true" ht="19" r="154">
      <c r="A154" s="5"/>
      <c r="B154" s="4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7">
        <f>(SUM(C154:Z154))+AE154</f>
      </c>
      <c r="AB154" s="6">
        <v>0</v>
      </c>
      <c r="AC154" s="8">
        <f>MIN(3, SUMPRODUCT((MOD(Streak!C155:Z155,5)=0)*(MOD(Streak!C155:Z155,10)&lt;&gt;0)*(Streak!C155:Z155&gt;0))) * 5</f>
      </c>
      <c r="AD154" s="8">
        <f>MIN(2, SUMPRODUCT((MOD(Streak!C155:Z155,10)=0)*(Streak!C155:Z155&gt;0))) * 20</f>
      </c>
      <c r="AE154" s="3">
        <f>SUM(AC154:AD154)</f>
      </c>
    </row>
    <row customHeight="true" ht="19" r="155">
      <c r="A155" s="5"/>
      <c r="B155" s="4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7">
        <f>(SUM(C155:Z155))+AE155</f>
      </c>
      <c r="AB155" s="6">
        <v>0</v>
      </c>
      <c r="AC155" s="8">
        <f>MIN(3, SUMPRODUCT((MOD(Streak!C156:Z156,5)=0)*(MOD(Streak!C156:Z156,10)&lt;&gt;0)*(Streak!C156:Z156&gt;0))) * 5</f>
      </c>
      <c r="AD155" s="8">
        <f>MIN(2, SUMPRODUCT((MOD(Streak!C156:Z156,10)=0)*(Streak!C156:Z156&gt;0))) * 20</f>
      </c>
      <c r="AE155" s="3">
        <f>SUM(AC155:AD155)</f>
      </c>
    </row>
    <row customHeight="true" ht="19" r="156">
      <c r="A156" s="5"/>
      <c r="B156" s="4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7">
        <f>(SUM(C156:Z156))+AE156</f>
      </c>
      <c r="AB156" s="6">
        <v>0</v>
      </c>
      <c r="AC156" s="8">
        <f>MIN(3, SUMPRODUCT((MOD(Streak!C157:Z157,5)=0)*(MOD(Streak!C157:Z157,10)&lt;&gt;0)*(Streak!C157:Z157&gt;0))) * 5</f>
      </c>
      <c r="AD156" s="8">
        <f>MIN(2, SUMPRODUCT((MOD(Streak!C157:Z157,10)=0)*(Streak!C157:Z157&gt;0))) * 20</f>
      </c>
      <c r="AE156" s="3">
        <f>SUM(AC156:AD156)</f>
      </c>
    </row>
    <row customHeight="true" ht="19" r="157">
      <c r="A157" s="5"/>
      <c r="B157" s="4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7">
        <f>(SUM(C157:Z157))+AE157</f>
      </c>
      <c r="AB157" s="6">
        <v>0</v>
      </c>
      <c r="AC157" s="8">
        <f>MIN(3, SUMPRODUCT((MOD(Streak!C158:Z158,5)=0)*(MOD(Streak!C158:Z158,10)&lt;&gt;0)*(Streak!C158:Z158&gt;0))) * 5</f>
      </c>
      <c r="AD157" s="8">
        <f>MIN(2, SUMPRODUCT((MOD(Streak!C158:Z158,10)=0)*(Streak!C158:Z158&gt;0))) * 20</f>
      </c>
      <c r="AE157" s="3">
        <f>SUM(AC157:AD157)</f>
      </c>
    </row>
    <row customHeight="true" ht="19" r="158">
      <c r="A158" s="5"/>
      <c r="B158" s="4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7">
        <f>(SUM(C158:Z158))+AE158</f>
      </c>
      <c r="AB158" s="6">
        <v>0</v>
      </c>
      <c r="AC158" s="8">
        <f>MIN(3, SUMPRODUCT((MOD(Streak!C159:Z159,5)=0)*(MOD(Streak!C159:Z159,10)&lt;&gt;0)*(Streak!C159:Z159&gt;0))) * 5</f>
      </c>
      <c r="AD158" s="8">
        <f>MIN(2, SUMPRODUCT((MOD(Streak!C159:Z159,10)=0)*(Streak!C159:Z159&gt;0))) * 20</f>
      </c>
      <c r="AE158" s="3">
        <f>SUM(AC158:AD158)</f>
      </c>
    </row>
    <row customHeight="true" ht="19" r="159">
      <c r="A159" s="5"/>
      <c r="B159" s="4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7">
        <f>(SUM(C159:Z159))+AE159</f>
      </c>
      <c r="AB159" s="6">
        <v>0</v>
      </c>
      <c r="AC159" s="8">
        <f>MIN(3, SUMPRODUCT((MOD(Streak!C160:Z160,5)=0)*(MOD(Streak!C160:Z160,10)&lt;&gt;0)*(Streak!C160:Z160&gt;0))) * 5</f>
      </c>
      <c r="AD159" s="8">
        <f>MIN(2, SUMPRODUCT((MOD(Streak!C160:Z160,10)=0)*(Streak!C160:Z160&gt;0))) * 20</f>
      </c>
      <c r="AE159" s="3">
        <f>SUM(AC159:AD159)</f>
      </c>
    </row>
    <row customHeight="true" ht="19" r="160">
      <c r="A160" s="5"/>
      <c r="B160" s="4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7">
        <f>(SUM(C160:Z160))+AE160</f>
      </c>
      <c r="AB160" s="6">
        <v>0</v>
      </c>
      <c r="AC160" s="8">
        <f>MIN(3, SUMPRODUCT((MOD(Streak!C161:Z161,5)=0)*(MOD(Streak!C161:Z161,10)&lt;&gt;0)*(Streak!C161:Z161&gt;0))) * 5</f>
      </c>
      <c r="AD160" s="8">
        <f>MIN(2, SUMPRODUCT((MOD(Streak!C161:Z161,10)=0)*(Streak!C161:Z161&gt;0))) * 20</f>
      </c>
      <c r="AE160" s="3">
        <f>SUM(AC160:AD160)</f>
      </c>
    </row>
    <row customHeight="true" ht="19" r="161">
      <c r="A161" s="5"/>
      <c r="B161" s="4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7">
        <f>(SUM(C161:Z161))+AE161</f>
      </c>
      <c r="AB161" s="6">
        <v>0</v>
      </c>
      <c r="AC161" s="8">
        <f>MIN(3, SUMPRODUCT((MOD(Streak!C162:Z162,5)=0)*(MOD(Streak!C162:Z162,10)&lt;&gt;0)*(Streak!C162:Z162&gt;0))) * 5</f>
      </c>
      <c r="AD161" s="8">
        <f>MIN(2, SUMPRODUCT((MOD(Streak!C162:Z162,10)=0)*(Streak!C162:Z162&gt;0))) * 20</f>
      </c>
      <c r="AE161" s="3">
        <f>SUM(AC161:AD161)</f>
      </c>
    </row>
    <row customHeight="true" ht="19" r="162">
      <c r="A162" s="5"/>
      <c r="B162" s="4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7">
        <f>(SUM(C162:Z162))+AE162</f>
      </c>
      <c r="AB162" s="6">
        <v>0</v>
      </c>
      <c r="AC162" s="8">
        <f>MIN(3, SUMPRODUCT((MOD(Streak!C163:Z163,5)=0)*(MOD(Streak!C163:Z163,10)&lt;&gt;0)*(Streak!C163:Z163&gt;0))) * 5</f>
      </c>
      <c r="AD162" s="8">
        <f>MIN(2, SUMPRODUCT((MOD(Streak!C163:Z163,10)=0)*(Streak!C163:Z163&gt;0))) * 20</f>
      </c>
      <c r="AE162" s="3">
        <f>SUM(AC162:AD162)</f>
      </c>
    </row>
    <row customHeight="true" ht="19" r="163">
      <c r="A163" s="5"/>
      <c r="B163" s="4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7">
        <f>(SUM(C163:Z163))+AE163</f>
      </c>
      <c r="AB163" s="6">
        <v>0</v>
      </c>
      <c r="AC163" s="8">
        <f>MIN(3, SUMPRODUCT((MOD(Streak!C164:Z164,5)=0)*(MOD(Streak!C164:Z164,10)&lt;&gt;0)*(Streak!C164:Z164&gt;0))) * 5</f>
      </c>
      <c r="AD163" s="8">
        <f>MIN(2, SUMPRODUCT((MOD(Streak!C164:Z164,10)=0)*(Streak!C164:Z164&gt;0))) * 20</f>
      </c>
      <c r="AE163" s="3">
        <f>SUM(AC163:AD163)</f>
      </c>
    </row>
    <row customHeight="true" ht="19" r="164">
      <c r="A164" s="5"/>
      <c r="B164" s="4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7">
        <f>(SUM(C164:Z164))+AE164</f>
      </c>
      <c r="AB164" s="6">
        <v>0</v>
      </c>
      <c r="AC164" s="8">
        <f>MIN(3, SUMPRODUCT((MOD(Streak!C165:Z165,5)=0)*(MOD(Streak!C165:Z165,10)&lt;&gt;0)*(Streak!C165:Z165&gt;0))) * 5</f>
      </c>
      <c r="AD164" s="8">
        <f>MIN(2, SUMPRODUCT((MOD(Streak!C165:Z165,10)=0)*(Streak!C165:Z165&gt;0))) * 20</f>
      </c>
      <c r="AE164" s="3">
        <f>SUM(AC164:AD164)</f>
      </c>
    </row>
    <row customHeight="true" ht="19" r="165">
      <c r="A165" s="5"/>
      <c r="B165" s="4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7">
        <f>(SUM(C165:Z165))+AE165</f>
      </c>
      <c r="AB165" s="6">
        <v>0</v>
      </c>
      <c r="AC165" s="8">
        <f>MIN(3, SUMPRODUCT((MOD(Streak!C166:Z166,5)=0)*(MOD(Streak!C166:Z166,10)&lt;&gt;0)*(Streak!C166:Z166&gt;0))) * 5</f>
      </c>
      <c r="AD165" s="8">
        <f>MIN(2, SUMPRODUCT((MOD(Streak!C166:Z166,10)=0)*(Streak!C166:Z166&gt;0))) * 20</f>
      </c>
      <c r="AE165" s="3">
        <f>SUM(AC165:AD165)</f>
      </c>
    </row>
    <row customHeight="true" ht="19" r="166">
      <c r="A166" s="5"/>
      <c r="B166" s="4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7">
        <f>(SUM(C166:Z166))+AE166</f>
      </c>
      <c r="AB166" s="6">
        <v>0</v>
      </c>
      <c r="AC166" s="8">
        <f>MIN(3, SUMPRODUCT((MOD(Streak!C167:Z167,5)=0)*(MOD(Streak!C167:Z167,10)&lt;&gt;0)*(Streak!C167:Z167&gt;0))) * 5</f>
      </c>
      <c r="AD166" s="8">
        <f>MIN(2, SUMPRODUCT((MOD(Streak!C167:Z167,10)=0)*(Streak!C167:Z167&gt;0))) * 20</f>
      </c>
      <c r="AE166" s="3">
        <f>SUM(AC166:AD166)</f>
      </c>
    </row>
    <row customHeight="true" ht="19" r="167">
      <c r="A167" s="5"/>
      <c r="B167" s="4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7">
        <f>(SUM(C167:Z167))+AE167</f>
      </c>
      <c r="AB167" s="6">
        <v>0</v>
      </c>
      <c r="AC167" s="8">
        <f>MIN(3, SUMPRODUCT((MOD(Streak!C168:Z168,5)=0)*(MOD(Streak!C168:Z168,10)&lt;&gt;0)*(Streak!C168:Z168&gt;0))) * 5</f>
      </c>
      <c r="AD167" s="8">
        <f>MIN(2, SUMPRODUCT((MOD(Streak!C168:Z168,10)=0)*(Streak!C168:Z168&gt;0))) * 20</f>
      </c>
      <c r="AE167" s="3">
        <f>SUM(AC167:AD167)</f>
      </c>
    </row>
    <row customHeight="true" ht="19" r="168">
      <c r="A168" s="5"/>
      <c r="B168" s="4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7">
        <f>(SUM(C168:Z168))+AE168</f>
      </c>
      <c r="AB168" s="6">
        <v>0</v>
      </c>
      <c r="AC168" s="8">
        <f>MIN(3, SUMPRODUCT((MOD(Streak!C169:Z169,5)=0)*(MOD(Streak!C169:Z169,10)&lt;&gt;0)*(Streak!C169:Z169&gt;0))) * 5</f>
      </c>
      <c r="AD168" s="8">
        <f>MIN(2, SUMPRODUCT((MOD(Streak!C169:Z169,10)=0)*(Streak!C169:Z169&gt;0))) * 20</f>
      </c>
      <c r="AE168" s="3">
        <f>SUM(AC168:AD168)</f>
      </c>
    </row>
    <row customHeight="true" ht="19" r="169">
      <c r="A169" s="5"/>
      <c r="B169" s="4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7">
        <f>(SUM(C169:Z169))+AE169</f>
      </c>
      <c r="AB169" s="6">
        <v>0</v>
      </c>
      <c r="AC169" s="8">
        <f>MIN(3, SUMPRODUCT((MOD(Streak!C170:Z170,5)=0)*(MOD(Streak!C170:Z170,10)&lt;&gt;0)*(Streak!C170:Z170&gt;0))) * 5</f>
      </c>
      <c r="AD169" s="8">
        <f>MIN(2, SUMPRODUCT((MOD(Streak!C170:Z170,10)=0)*(Streak!C170:Z170&gt;0))) * 20</f>
      </c>
      <c r="AE169" s="3">
        <f>SUM(AC169:AD169)</f>
      </c>
    </row>
    <row customHeight="true" ht="19" r="170">
      <c r="A170" s="5"/>
      <c r="B170" s="4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7">
        <f>(SUM(C170:Z170))+AE170</f>
      </c>
      <c r="AB170" s="6">
        <v>0</v>
      </c>
      <c r="AC170" s="8">
        <f>MIN(3, SUMPRODUCT((MOD(Streak!C171:Z171,5)=0)*(MOD(Streak!C171:Z171,10)&lt;&gt;0)*(Streak!C171:Z171&gt;0))) * 5</f>
      </c>
      <c r="AD170" s="8">
        <f>MIN(2, SUMPRODUCT((MOD(Streak!C171:Z171,10)=0)*(Streak!C171:Z171&gt;0))) * 20</f>
      </c>
      <c r="AE170" s="3">
        <f>SUM(AC170:AD170)</f>
      </c>
    </row>
    <row customHeight="true" ht="19" r="171">
      <c r="A171" s="5"/>
      <c r="B171" s="4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7">
        <f>(SUM(C171:Z171))+AE171</f>
      </c>
      <c r="AB171" s="6">
        <v>0</v>
      </c>
      <c r="AC171" s="8">
        <f>MIN(3, SUMPRODUCT((MOD(Streak!C172:Z172,5)=0)*(MOD(Streak!C172:Z172,10)&lt;&gt;0)*(Streak!C172:Z172&gt;0))) * 5</f>
      </c>
      <c r="AD171" s="8">
        <f>MIN(2, SUMPRODUCT((MOD(Streak!C172:Z172,10)=0)*(Streak!C172:Z172&gt;0))) * 20</f>
      </c>
      <c r="AE171" s="3">
        <f>SUM(AC171:AD171)</f>
      </c>
    </row>
    <row customHeight="true" ht="19" r="172">
      <c r="A172" s="5"/>
      <c r="B172" s="4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7">
        <f>(SUM(C172:Z172))+AE172</f>
      </c>
      <c r="AB172" s="6">
        <v>0</v>
      </c>
      <c r="AC172" s="8">
        <f>MIN(3, SUMPRODUCT((MOD(Streak!C173:Z173,5)=0)*(MOD(Streak!C173:Z173,10)&lt;&gt;0)*(Streak!C173:Z173&gt;0))) * 5</f>
      </c>
      <c r="AD172" s="8">
        <f>MIN(2, SUMPRODUCT((MOD(Streak!C173:Z173,10)=0)*(Streak!C173:Z173&gt;0))) * 20</f>
      </c>
      <c r="AE172" s="3">
        <f>SUM(AC172:AD172)</f>
      </c>
    </row>
    <row customHeight="true" ht="19" r="173">
      <c r="A173" s="5"/>
      <c r="B173" s="4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7">
        <f>(SUM(C173:Z173))+AE173</f>
      </c>
      <c r="AB173" s="6">
        <v>0</v>
      </c>
      <c r="AC173" s="8">
        <f>MIN(3, SUMPRODUCT((MOD(Streak!C174:Z174,5)=0)*(MOD(Streak!C174:Z174,10)&lt;&gt;0)*(Streak!C174:Z174&gt;0))) * 5</f>
      </c>
      <c r="AD173" s="8">
        <f>MIN(2, SUMPRODUCT((MOD(Streak!C174:Z174,10)=0)*(Streak!C174:Z174&gt;0))) * 20</f>
      </c>
      <c r="AE173" s="3">
        <f>SUM(AC173:AD173)</f>
      </c>
    </row>
    <row customHeight="true" ht="19" r="174">
      <c r="A174" s="5"/>
      <c r="B174" s="4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7">
        <f>(SUM(C174:Z174))+AE174</f>
      </c>
      <c r="AB174" s="6">
        <v>0</v>
      </c>
      <c r="AC174" s="8">
        <f>MIN(3, SUMPRODUCT((MOD(Streak!C175:Z175,5)=0)*(MOD(Streak!C175:Z175,10)&lt;&gt;0)*(Streak!C175:Z175&gt;0))) * 5</f>
      </c>
      <c r="AD174" s="8">
        <f>MIN(2, SUMPRODUCT((MOD(Streak!C175:Z175,10)=0)*(Streak!C175:Z175&gt;0))) * 20</f>
      </c>
      <c r="AE174" s="3">
        <f>SUM(AC174:AD174)</f>
      </c>
    </row>
    <row customHeight="true" ht="19" r="175">
      <c r="A175" s="5"/>
      <c r="B175" s="4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7">
        <f>(SUM(C175:Z175))+AE175</f>
      </c>
      <c r="AB175" s="6">
        <v>0</v>
      </c>
      <c r="AC175" s="8">
        <f>MIN(3, SUMPRODUCT((MOD(Streak!C176:Z176,5)=0)*(MOD(Streak!C176:Z176,10)&lt;&gt;0)*(Streak!C176:Z176&gt;0))) * 5</f>
      </c>
      <c r="AD175" s="8">
        <f>MIN(2, SUMPRODUCT((MOD(Streak!C176:Z176,10)=0)*(Streak!C176:Z176&gt;0))) * 20</f>
      </c>
      <c r="AE175" s="3">
        <f>SUM(AC175:AD175)</f>
      </c>
    </row>
    <row customHeight="true" ht="19" r="176">
      <c r="A176" s="5"/>
      <c r="B176" s="4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7">
        <f>(SUM(C176:Z176))+AE176</f>
      </c>
      <c r="AB176" s="6">
        <v>0</v>
      </c>
      <c r="AC176" s="8">
        <f>MIN(3, SUMPRODUCT((MOD(Streak!C177:Z177,5)=0)*(MOD(Streak!C177:Z177,10)&lt;&gt;0)*(Streak!C177:Z177&gt;0))) * 5</f>
      </c>
      <c r="AD176" s="8">
        <f>MIN(2, SUMPRODUCT((MOD(Streak!C177:Z177,10)=0)*(Streak!C177:Z177&gt;0))) * 20</f>
      </c>
      <c r="AE176" s="3">
        <f>SUM(AC176:AD176)</f>
      </c>
    </row>
    <row customHeight="true" ht="19" r="177">
      <c r="A177" s="5"/>
      <c r="B177" s="4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7">
        <f>(SUM(C177:Z177))+AE177</f>
      </c>
      <c r="AB177" s="6">
        <v>0</v>
      </c>
      <c r="AC177" s="8">
        <f>MIN(3, SUMPRODUCT((MOD(Streak!C178:Z178,5)=0)*(MOD(Streak!C178:Z178,10)&lt;&gt;0)*(Streak!C178:Z178&gt;0))) * 5</f>
      </c>
      <c r="AD177" s="8">
        <f>MIN(2, SUMPRODUCT((MOD(Streak!C178:Z178,10)=0)*(Streak!C178:Z178&gt;0))) * 20</f>
      </c>
      <c r="AE177" s="3">
        <f>SUM(AC177:AD177)</f>
      </c>
    </row>
    <row customHeight="true" ht="19" r="178">
      <c r="A178" s="5"/>
      <c r="B178" s="4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7">
        <f>(SUM(C178:Z178))+AE178</f>
      </c>
      <c r="AB178" s="6">
        <v>0</v>
      </c>
      <c r="AC178" s="8">
        <f>MIN(3, SUMPRODUCT((MOD(Streak!C179:Z179,5)=0)*(MOD(Streak!C179:Z179,10)&lt;&gt;0)*(Streak!C179:Z179&gt;0))) * 5</f>
      </c>
      <c r="AD178" s="8">
        <f>MIN(2, SUMPRODUCT((MOD(Streak!C179:Z179,10)=0)*(Streak!C179:Z179&gt;0))) * 20</f>
      </c>
      <c r="AE178" s="3">
        <f>SUM(AC178:AD178)</f>
      </c>
    </row>
    <row customHeight="true" ht="19" r="179">
      <c r="A179" s="5"/>
      <c r="B179" s="4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7">
        <f>(SUM(C179:Z179))+AE179</f>
      </c>
      <c r="AB179" s="6">
        <v>0</v>
      </c>
      <c r="AC179" s="8">
        <f>MIN(3, SUMPRODUCT((MOD(Streak!C180:Z180,5)=0)*(MOD(Streak!C180:Z180,10)&lt;&gt;0)*(Streak!C180:Z180&gt;0))) * 5</f>
      </c>
      <c r="AD179" s="8">
        <f>MIN(2, SUMPRODUCT((MOD(Streak!C180:Z180,10)=0)*(Streak!C180:Z180&gt;0))) * 20</f>
      </c>
      <c r="AE179" s="3">
        <f>SUM(AC179:AD179)</f>
      </c>
    </row>
    <row customHeight="true" ht="19" r="180">
      <c r="A180" s="5"/>
      <c r="B180" s="4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7">
        <f>(SUM(C180:Z180))+AE180</f>
      </c>
      <c r="AB180" s="6">
        <v>0</v>
      </c>
      <c r="AC180" s="8">
        <f>MIN(3, SUMPRODUCT((MOD(Streak!C181:Z181,5)=0)*(MOD(Streak!C181:Z181,10)&lt;&gt;0)*(Streak!C181:Z181&gt;0))) * 5</f>
      </c>
      <c r="AD180" s="8">
        <f>MIN(2, SUMPRODUCT((MOD(Streak!C181:Z181,10)=0)*(Streak!C181:Z181&gt;0))) * 20</f>
      </c>
      <c r="AE180" s="3">
        <f>SUM(AC180:AD180)</f>
      </c>
    </row>
    <row customHeight="true" ht="19" r="181">
      <c r="A181" s="5"/>
      <c r="B181" s="4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7">
        <f>(SUM(C181:Z181))+AE181</f>
      </c>
      <c r="AB181" s="6">
        <v>0</v>
      </c>
      <c r="AC181" s="8">
        <f>MIN(3, SUMPRODUCT((MOD(Streak!C182:Z182,5)=0)*(MOD(Streak!C182:Z182,10)&lt;&gt;0)*(Streak!C182:Z182&gt;0))) * 5</f>
      </c>
      <c r="AD181" s="8">
        <f>MIN(2, SUMPRODUCT((MOD(Streak!C182:Z182,10)=0)*(Streak!C182:Z182&gt;0))) * 20</f>
      </c>
      <c r="AE181" s="3">
        <f>SUM(AC181:AD181)</f>
      </c>
    </row>
    <row customHeight="true" ht="19" r="182">
      <c r="A182" s="5"/>
      <c r="B182" s="4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7">
        <f>(SUM(C182:Z182))+AE182</f>
      </c>
      <c r="AB182" s="6">
        <v>0</v>
      </c>
      <c r="AC182" s="8">
        <f>MIN(3, SUMPRODUCT((MOD(Streak!C183:Z183,5)=0)*(MOD(Streak!C183:Z183,10)&lt;&gt;0)*(Streak!C183:Z183&gt;0))) * 5</f>
      </c>
      <c r="AD182" s="8">
        <f>MIN(2, SUMPRODUCT((MOD(Streak!C183:Z183,10)=0)*(Streak!C183:Z183&gt;0))) * 20</f>
      </c>
      <c r="AE182" s="3">
        <f>SUM(AC182:AD182)</f>
      </c>
    </row>
    <row customHeight="true" ht="19" r="183">
      <c r="A183" s="5"/>
      <c r="B183" s="4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7">
        <f>(SUM(C183:Z183))+AE183</f>
      </c>
      <c r="AB183" s="6">
        <v>0</v>
      </c>
      <c r="AC183" s="8">
        <f>MIN(3, SUMPRODUCT((MOD(Streak!C184:Z184,5)=0)*(MOD(Streak!C184:Z184,10)&lt;&gt;0)*(Streak!C184:Z184&gt;0))) * 5</f>
      </c>
      <c r="AD183" s="8">
        <f>MIN(2, SUMPRODUCT((MOD(Streak!C184:Z184,10)=0)*(Streak!C184:Z184&gt;0))) * 20</f>
      </c>
      <c r="AE183" s="3">
        <f>SUM(AC183:AD183)</f>
      </c>
    </row>
    <row customHeight="true" ht="19" r="184">
      <c r="A184" s="5"/>
      <c r="B184" s="4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7">
        <f>(SUM(C184:Z184))+AE184</f>
      </c>
      <c r="AB184" s="6">
        <v>0</v>
      </c>
      <c r="AC184" s="8">
        <f>MIN(3, SUMPRODUCT((MOD(Streak!C185:Z185,5)=0)*(MOD(Streak!C185:Z185,10)&lt;&gt;0)*(Streak!C185:Z185&gt;0))) * 5</f>
      </c>
      <c r="AD184" s="8">
        <f>MIN(2, SUMPRODUCT((MOD(Streak!C185:Z185,10)=0)*(Streak!C185:Z185&gt;0))) * 20</f>
      </c>
      <c r="AE184" s="3">
        <f>SUM(AC184:AD184)</f>
      </c>
    </row>
    <row customHeight="true" ht="19" r="185">
      <c r="A185" s="5"/>
      <c r="B185" s="4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7">
        <f>(SUM(C185:Z185))+AE185</f>
      </c>
      <c r="AB185" s="6">
        <v>0</v>
      </c>
      <c r="AC185" s="8">
        <f>MIN(3, SUMPRODUCT((MOD(Streak!C186:Z186,5)=0)*(MOD(Streak!C186:Z186,10)&lt;&gt;0)*(Streak!C186:Z186&gt;0))) * 5</f>
      </c>
      <c r="AD185" s="8">
        <f>MIN(2, SUMPRODUCT((MOD(Streak!C186:Z186,10)=0)*(Streak!C186:Z186&gt;0))) * 20</f>
      </c>
      <c r="AE185" s="3">
        <f>SUM(AC185:AD185)</f>
      </c>
    </row>
    <row customHeight="true" ht="19" r="186">
      <c r="A186" s="5"/>
      <c r="B186" s="4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7">
        <f>(SUM(C186:Z186))+AE186</f>
      </c>
      <c r="AB186" s="6">
        <v>0</v>
      </c>
      <c r="AC186" s="8">
        <f>MIN(3, SUMPRODUCT((MOD(Streak!C187:Z187,5)=0)*(MOD(Streak!C187:Z187,10)&lt;&gt;0)*(Streak!C187:Z187&gt;0))) * 5</f>
      </c>
      <c r="AD186" s="8">
        <f>MIN(2, SUMPRODUCT((MOD(Streak!C187:Z187,10)=0)*(Streak!C187:Z187&gt;0))) * 20</f>
      </c>
      <c r="AE186" s="3">
        <f>SUM(AC186:AD186)</f>
      </c>
    </row>
    <row customHeight="true" ht="19" r="187">
      <c r="A187" s="5"/>
      <c r="B187" s="4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7">
        <f>(SUM(C187:Z187))+AE187</f>
      </c>
      <c r="AB187" s="6">
        <v>0</v>
      </c>
      <c r="AC187" s="8">
        <f>MIN(3, SUMPRODUCT((MOD(Streak!C188:Z188,5)=0)*(MOD(Streak!C188:Z188,10)&lt;&gt;0)*(Streak!C188:Z188&gt;0))) * 5</f>
      </c>
      <c r="AD187" s="8">
        <f>MIN(2, SUMPRODUCT((MOD(Streak!C188:Z188,10)=0)*(Streak!C188:Z188&gt;0))) * 20</f>
      </c>
      <c r="AE187" s="3">
        <f>SUM(AC187:AD187)</f>
      </c>
    </row>
    <row customHeight="true" ht="19" r="188">
      <c r="A188" s="5"/>
      <c r="B188" s="4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7">
        <f>(SUM(C188:Z188))+AE188</f>
      </c>
      <c r="AB188" s="6">
        <v>0</v>
      </c>
      <c r="AC188" s="8">
        <f>MIN(3, SUMPRODUCT((MOD(Streak!C189:Z189,5)=0)*(MOD(Streak!C189:Z189,10)&lt;&gt;0)*(Streak!C189:Z189&gt;0))) * 5</f>
      </c>
      <c r="AD188" s="8">
        <f>MIN(2, SUMPRODUCT((MOD(Streak!C189:Z189,10)=0)*(Streak!C189:Z189&gt;0))) * 20</f>
      </c>
      <c r="AE188" s="3">
        <f>SUM(AC188:AD188)</f>
      </c>
    </row>
    <row customHeight="true" ht="19" r="189">
      <c r="A189" s="5"/>
      <c r="B189" s="4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7">
        <f>(SUM(C189:Z189))+AE189</f>
      </c>
      <c r="AB189" s="6">
        <v>0</v>
      </c>
      <c r="AC189" s="8">
        <f>MIN(3, SUMPRODUCT((MOD(Streak!C190:Z190,5)=0)*(MOD(Streak!C190:Z190,10)&lt;&gt;0)*(Streak!C190:Z190&gt;0))) * 5</f>
      </c>
      <c r="AD189" s="8">
        <f>MIN(2, SUMPRODUCT((MOD(Streak!C190:Z190,10)=0)*(Streak!C190:Z190&gt;0))) * 20</f>
      </c>
      <c r="AE189" s="3">
        <f>SUM(AC189:AD189)</f>
      </c>
    </row>
    <row customHeight="true" ht="19" r="190">
      <c r="A190" s="5"/>
      <c r="B190" s="4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7">
        <f>(SUM(C190:Z190))+AE190</f>
      </c>
      <c r="AB190" s="6">
        <v>0</v>
      </c>
      <c r="AC190" s="8">
        <f>MIN(3, SUMPRODUCT((MOD(Streak!C191:Z191,5)=0)*(MOD(Streak!C191:Z191,10)&lt;&gt;0)*(Streak!C191:Z191&gt;0))) * 5</f>
      </c>
      <c r="AD190" s="8">
        <f>MIN(2, SUMPRODUCT((MOD(Streak!C191:Z191,10)=0)*(Streak!C191:Z191&gt;0))) * 20</f>
      </c>
      <c r="AE190" s="3">
        <f>SUM(AC190:AD190)</f>
      </c>
    </row>
    <row customHeight="true" ht="19" r="191">
      <c r="A191" s="5"/>
      <c r="B191" s="4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7">
        <f>(SUM(C191:Z191))+AE191</f>
      </c>
      <c r="AB191" s="6">
        <v>0</v>
      </c>
      <c r="AC191" s="8">
        <f>MIN(3, SUMPRODUCT((MOD(Streak!C192:Z192,5)=0)*(MOD(Streak!C192:Z192,10)&lt;&gt;0)*(Streak!C192:Z192&gt;0))) * 5</f>
      </c>
      <c r="AD191" s="8">
        <f>MIN(2, SUMPRODUCT((MOD(Streak!C192:Z192,10)=0)*(Streak!C192:Z192&gt;0))) * 20</f>
      </c>
      <c r="AE191" s="3">
        <f>SUM(AC191:AD191)</f>
      </c>
    </row>
    <row customHeight="true" ht="19" r="192">
      <c r="A192" s="5"/>
      <c r="B192" s="4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7">
        <f>(SUM(C192:Z192))+AE192</f>
      </c>
      <c r="AB192" s="6">
        <v>0</v>
      </c>
      <c r="AC192" s="8">
        <f>MIN(3, SUMPRODUCT((MOD(Streak!C193:Z193,5)=0)*(MOD(Streak!C193:Z193,10)&lt;&gt;0)*(Streak!C193:Z193&gt;0))) * 5</f>
      </c>
      <c r="AD192" s="8">
        <f>MIN(2, SUMPRODUCT((MOD(Streak!C193:Z193,10)=0)*(Streak!C193:Z193&gt;0))) * 20</f>
      </c>
      <c r="AE192" s="3">
        <f>SUM(AC192:AD192)</f>
      </c>
    </row>
    <row customHeight="true" ht="19" r="193">
      <c r="A193" s="5"/>
      <c r="B193" s="4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7">
        <f>(SUM(C193:Z193))+AE193</f>
      </c>
      <c r="AB193" s="6">
        <v>0</v>
      </c>
      <c r="AC193" s="8">
        <f>MIN(3, SUMPRODUCT((MOD(Streak!C194:Z194,5)=0)*(MOD(Streak!C194:Z194,10)&lt;&gt;0)*(Streak!C194:Z194&gt;0))) * 5</f>
      </c>
      <c r="AD193" s="8">
        <f>MIN(2, SUMPRODUCT((MOD(Streak!C194:Z194,10)=0)*(Streak!C194:Z194&gt;0))) * 20</f>
      </c>
      <c r="AE193" s="3">
        <f>SUM(AC193:AD193)</f>
      </c>
    </row>
    <row customHeight="true" ht="19" r="194">
      <c r="A194" s="5"/>
      <c r="B194" s="4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7">
        <f>(SUM(C194:Z194))+AE194</f>
      </c>
      <c r="AB194" s="6">
        <v>0</v>
      </c>
      <c r="AC194" s="8">
        <f>MIN(3, SUMPRODUCT((MOD(Streak!C195:Z195,5)=0)*(MOD(Streak!C195:Z195,10)&lt;&gt;0)*(Streak!C195:Z195&gt;0))) * 5</f>
      </c>
      <c r="AD194" s="8">
        <f>MIN(2, SUMPRODUCT((MOD(Streak!C195:Z195,10)=0)*(Streak!C195:Z195&gt;0))) * 20</f>
      </c>
      <c r="AE194" s="3">
        <f>SUM(AC194:AD194)</f>
      </c>
    </row>
    <row customHeight="true" ht="19" r="195">
      <c r="A195" s="5"/>
      <c r="B195" s="4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7">
        <f>(SUM(C195:Z195))+AE195</f>
      </c>
      <c r="AB195" s="6">
        <v>0</v>
      </c>
      <c r="AC195" s="8">
        <f>MIN(3, SUMPRODUCT((MOD(Streak!C196:Z196,5)=0)*(MOD(Streak!C196:Z196,10)&lt;&gt;0)*(Streak!C196:Z196&gt;0))) * 5</f>
      </c>
      <c r="AD195" s="8">
        <f>MIN(2, SUMPRODUCT((MOD(Streak!C196:Z196,10)=0)*(Streak!C196:Z196&gt;0))) * 20</f>
      </c>
      <c r="AE195" s="3">
        <f>SUM(AC195:AD195)</f>
      </c>
    </row>
    <row customHeight="true" ht="19" r="196">
      <c r="A196" s="5"/>
      <c r="B196" s="4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7">
        <f>(SUM(C196:Z196))+AE196</f>
      </c>
      <c r="AB196" s="6">
        <v>0</v>
      </c>
      <c r="AC196" s="8">
        <f>MIN(3, SUMPRODUCT((MOD(Streak!C197:Z197,5)=0)*(MOD(Streak!C197:Z197,10)&lt;&gt;0)*(Streak!C197:Z197&gt;0))) * 5</f>
      </c>
      <c r="AD196" s="8">
        <f>MIN(2, SUMPRODUCT((MOD(Streak!C197:Z197,10)=0)*(Streak!C197:Z197&gt;0))) * 20</f>
      </c>
      <c r="AE196" s="3">
        <f>SUM(AC196:AD196)</f>
      </c>
    </row>
    <row customHeight="true" ht="19" r="197">
      <c r="A197" s="5"/>
      <c r="B197" s="4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7">
        <f>(SUM(C197:Z197))+AE197</f>
      </c>
      <c r="AB197" s="6">
        <v>0</v>
      </c>
      <c r="AC197" s="8">
        <f>MIN(3, SUMPRODUCT((MOD(Streak!C198:Z198,5)=0)*(MOD(Streak!C198:Z198,10)&lt;&gt;0)*(Streak!C198:Z198&gt;0))) * 5</f>
      </c>
      <c r="AD197" s="8">
        <f>MIN(2, SUMPRODUCT((MOD(Streak!C198:Z198,10)=0)*(Streak!C198:Z198&gt;0))) * 20</f>
      </c>
      <c r="AE197" s="3">
        <f>SUM(AC197:AD197)</f>
      </c>
    </row>
    <row customHeight="true" ht="19" r="198">
      <c r="A198" s="5"/>
      <c r="B198" s="4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7">
        <f>(SUM(C198:Z198))+AE198</f>
      </c>
      <c r="AB198" s="6">
        <v>0</v>
      </c>
      <c r="AC198" s="8">
        <f>MIN(3, SUMPRODUCT((MOD(Streak!C199:Z199,5)=0)*(MOD(Streak!C199:Z199,10)&lt;&gt;0)*(Streak!C199:Z199&gt;0))) * 5</f>
      </c>
      <c r="AD198" s="8">
        <f>MIN(2, SUMPRODUCT((MOD(Streak!C199:Z199,10)=0)*(Streak!C199:Z199&gt;0))) * 20</f>
      </c>
      <c r="AE198" s="3">
        <f>SUM(AC198:AD198)</f>
      </c>
    </row>
    <row customHeight="true" ht="19" r="199">
      <c r="A199" s="5"/>
      <c r="B199" s="4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7">
        <f>(SUM(C199:Z199))+AE199</f>
      </c>
      <c r="AB199" s="6">
        <v>0</v>
      </c>
      <c r="AC199" s="8">
        <f>MIN(3, SUMPRODUCT((MOD(Streak!C200:Z200,5)=0)*(MOD(Streak!C200:Z200,10)&lt;&gt;0)*(Streak!C200:Z200&gt;0))) * 5</f>
      </c>
      <c r="AD199" s="8">
        <f>MIN(2, SUMPRODUCT((MOD(Streak!C200:Z200,10)=0)*(Streak!C200:Z200&gt;0))) * 20</f>
      </c>
      <c r="AE199" s="3">
        <f>SUM(AC199:AD199)</f>
      </c>
    </row>
    <row customHeight="true" ht="19" r="200">
      <c r="A200" s="5"/>
      <c r="B200" s="4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7">
        <f>(SUM(C200:Z200))+AE200</f>
      </c>
      <c r="AB200" s="6">
        <v>0</v>
      </c>
      <c r="AC200" s="8">
        <f>MIN(3, SUMPRODUCT((MOD(Streak!C201:Z201,5)=0)*(MOD(Streak!C201:Z201,10)&lt;&gt;0)*(Streak!C201:Z201&gt;0))) * 5</f>
      </c>
      <c r="AD200" s="8">
        <f>MIN(2, SUMPRODUCT((MOD(Streak!C201:Z201,10)=0)*(Streak!C201:Z201&gt;0))) * 20</f>
      </c>
      <c r="AE200" s="3">
        <f>SUM(AC200:AD200)</f>
      </c>
    </row>
    <row customHeight="true" ht="19" r="201">
      <c r="A201" s="5"/>
      <c r="B201" s="4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7">
        <f>(SUM(C201:Z201))+AE201</f>
      </c>
      <c r="AB201" s="6">
        <v>0</v>
      </c>
      <c r="AC201" s="8">
        <f>MIN(3, SUMPRODUCT((MOD(Streak!C202:Z202,5)=0)*(MOD(Streak!C202:Z202,10)&lt;&gt;0)*(Streak!C202:Z202&gt;0))) * 5</f>
      </c>
      <c r="AD201" s="8">
        <f>MIN(2, SUMPRODUCT((MOD(Streak!C202:Z202,10)=0)*(Streak!C202:Z202&gt;0))) * 20</f>
      </c>
      <c r="AE201" s="3">
        <f>SUM(AC201:AD201)</f>
      </c>
    </row>
    <row customHeight="true" ht="19" r="202">
      <c r="A202" s="5"/>
      <c r="B202" s="4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7">
        <f>(SUM(C202:Z202))+AE202</f>
      </c>
      <c r="AB202" s="6">
        <v>0</v>
      </c>
      <c r="AC202" s="8">
        <f>MIN(3, SUMPRODUCT((MOD(Streak!C203:Z203,5)=0)*(MOD(Streak!C203:Z203,10)&lt;&gt;0)*(Streak!C203:Z203&gt;0))) * 5</f>
      </c>
      <c r="AD202" s="8">
        <f>MIN(2, SUMPRODUCT((MOD(Streak!C203:Z203,10)=0)*(Streak!C203:Z203&gt;0))) * 20</f>
      </c>
      <c r="AE202" s="3">
        <f>SUM(AC202:AD202)</f>
      </c>
    </row>
    <row customHeight="true" ht="19" r="203">
      <c r="A203" s="5"/>
      <c r="B203" s="4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7">
        <f>(SUM(C203:Z203))+AE203</f>
      </c>
      <c r="AB203" s="6">
        <v>0</v>
      </c>
      <c r="AC203" s="8">
        <f>MIN(3, SUMPRODUCT((MOD(Streak!C204:Z204,5)=0)*(MOD(Streak!C204:Z204,10)&lt;&gt;0)*(Streak!C204:Z204&gt;0))) * 5</f>
      </c>
      <c r="AD203" s="8">
        <f>MIN(2, SUMPRODUCT((MOD(Streak!C204:Z204,10)=0)*(Streak!C204:Z204&gt;0))) * 20</f>
      </c>
      <c r="AE203" s="3">
        <f>SUM(AC203:AD203)</f>
      </c>
    </row>
    <row customHeight="true" ht="19" r="204">
      <c r="A204" s="5"/>
      <c r="B204" s="4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7">
        <f>(SUM(C204:Z204))+AE204</f>
      </c>
      <c r="AB204" s="6">
        <v>0</v>
      </c>
      <c r="AC204" s="8">
        <f>MIN(3, SUMPRODUCT((MOD(Streak!C205:Z205,5)=0)*(MOD(Streak!C205:Z205,10)&lt;&gt;0)*(Streak!C205:Z205&gt;0))) * 5</f>
      </c>
      <c r="AD204" s="8">
        <f>MIN(2, SUMPRODUCT((MOD(Streak!C205:Z205,10)=0)*(Streak!C205:Z205&gt;0))) * 20</f>
      </c>
      <c r="AE204" s="3">
        <f>SUM(AC204:AD204)</f>
      </c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  <c r="AA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  <c r="AA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  <c r="AA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  <c r="AA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  <c r="AA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  <c r="AA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  <c r="AA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  <c r="AA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  <c r="AA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  <c r="AA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  <c r="AA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  <c r="AA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  <c r="AA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  <c r="AA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  <c r="AA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  <c r="AA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  <c r="AA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  <c r="AA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  <c r="AA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  <c r="AA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  <c r="AA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  <c r="AA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  <c r="AA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  <c r="AA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  <c r="AA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  <c r="AA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  <c r="AA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  <c r="AA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  <c r="AA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  <c r="AA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  <c r="AA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  <c r="AA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  <c r="AA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  <c r="AA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  <c r="AA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  <c r="AA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  <c r="AA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  <c r="AA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  <c r="AA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  <c r="AA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  <c r="AA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  <c r="AA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  <c r="AA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  <c r="AA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  <c r="AA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  <c r="AA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  <c r="AA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  <c r="AA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  <c r="AA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  <c r="AA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  <c r="AA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  <c r="AA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  <c r="AA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  <c r="AA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  <c r="AA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  <c r="AA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  <c r="AA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  <c r="AA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  <c r="AA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  <c r="AA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  <c r="AA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  <c r="AA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  <c r="AA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  <c r="AA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  <c r="AA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  <c r="AA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  <c r="AA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  <c r="AA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  <c r="AA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  <c r="AA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  <c r="AA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  <c r="AA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  <c r="AA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  <c r="AA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  <c r="AA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  <c r="AA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  <c r="AA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  <c r="AA1165" s="9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9" t="str">
        <v>MEMBER</v>
      </c>
      <c r="B2" s="19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Streaks</v>
      </c>
    </row>
    <row r="3">
      <c r="A3" s="19"/>
      <c r="B3" s="19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24"/>
    </row>
    <row r="4">
      <c r="A4" s="13" t="str">
        <v>
</v>
      </c>
      <c r="B4" s="15" t="str">
        <v>TOTAL</v>
      </c>
      <c r="C4" s="29">
        <f>SUM(C5:C64)</f>
      </c>
      <c r="D4" s="14">
        <f>SUM(D5:D64)</f>
      </c>
      <c r="E4" s="14">
        <f>SUM(E5:E64)</f>
      </c>
      <c r="F4" s="14">
        <f>SUM(F5:F64)</f>
      </c>
      <c r="G4" s="14">
        <f>SUM(G5:G64)</f>
      </c>
      <c r="H4" s="14">
        <f>SUM(H5:H64)</f>
      </c>
      <c r="I4" s="14">
        <f>SUM(I5:I64)</f>
      </c>
      <c r="J4" s="14">
        <f>SUM(J5:J64)</f>
      </c>
      <c r="K4" s="14">
        <f>SUM(K5:K64)</f>
      </c>
      <c r="L4" s="14">
        <f>SUM(L5:L64)</f>
      </c>
      <c r="M4" s="14">
        <f>SUM(M5:M64)</f>
      </c>
      <c r="N4" s="14">
        <f>SUM(N5:N64)</f>
      </c>
      <c r="O4" s="14">
        <f>SUM(O5:O64)</f>
      </c>
      <c r="P4" s="14">
        <f>SUM(P5:P64)</f>
      </c>
      <c r="Q4" s="14">
        <f>SUM(Q5:Q64)</f>
      </c>
      <c r="R4" s="14">
        <f>SUM(R5:R64)</f>
      </c>
      <c r="S4" s="14">
        <f>SUM(S5:S64)</f>
      </c>
      <c r="T4" s="14">
        <f>SUM(T5:T64)</f>
      </c>
      <c r="U4" s="14">
        <f>SUM(U5:U64)</f>
      </c>
      <c r="V4" s="14">
        <f>SUM(V5:V64)</f>
      </c>
      <c r="W4" s="14">
        <f>SUM(W5:W64)</f>
      </c>
      <c r="X4" s="14">
        <f>SUM(X5:X64)</f>
      </c>
      <c r="Y4" s="14">
        <f>SUM(Y5:Y64)</f>
      </c>
      <c r="Z4" s="14">
        <f>SUM(Z5:Z64)</f>
      </c>
      <c r="AA4" s="14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8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7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8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7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8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7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8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7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8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7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8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7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8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7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8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7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8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7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8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7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8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7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8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7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8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7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8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7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8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7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8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7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8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7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8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7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8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7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8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7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8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7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8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7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8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7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8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7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8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7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8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7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8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7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8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7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8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7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8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7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8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7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8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7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8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7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8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7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8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7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8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7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8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7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8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7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8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7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8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7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8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7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8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7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8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7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8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7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8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7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8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7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8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7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8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7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8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7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8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7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8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7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8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7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8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7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8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7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8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7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8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7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8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7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8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7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8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7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8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7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8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7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8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7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8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7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8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7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8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7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8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7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8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7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8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7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8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7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8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7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8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7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8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7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8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7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8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7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8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7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8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7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8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7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8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7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8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7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8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7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8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7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8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7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8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7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8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7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8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7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8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7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8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7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8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7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8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7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8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7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8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7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8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7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8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7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8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7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8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7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8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7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8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7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8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7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8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7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8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7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8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7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8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7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8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7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8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7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8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7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8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7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8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7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8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7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8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7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8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7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8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7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8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7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8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7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8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7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8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7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8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7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8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7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8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7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8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7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8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7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8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7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8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7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8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7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8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7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8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7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8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7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8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7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8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7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8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7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8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7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8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7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8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7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8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7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8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7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8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7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8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7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8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7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8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7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8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7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8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7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8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7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8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7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8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7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8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7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8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7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8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7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8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7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8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7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8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7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8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7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8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7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8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7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8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7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8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7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8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7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8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7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8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7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8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7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8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7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8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7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8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7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8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7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8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7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8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7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8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7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8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7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8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7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8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7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8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7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8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7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8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7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8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7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8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7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8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7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8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7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8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7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8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7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8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7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8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7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8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7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8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7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8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7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8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7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8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7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8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7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8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7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8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7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8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7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8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7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8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7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8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7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8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7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8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7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8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7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8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7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8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7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8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7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8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7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8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7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8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7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8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7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8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7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8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7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8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7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8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7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8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7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8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7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8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7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8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7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8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7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8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7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8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7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8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7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8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7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8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7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8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7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8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7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8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7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8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7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8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7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8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7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8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7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8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7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8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7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8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7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8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7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8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7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8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7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8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7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8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7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8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7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8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7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8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7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8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7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8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7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8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7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8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7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8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7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8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7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8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7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8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7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8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7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8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7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8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7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8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7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8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7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8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7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8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7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8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7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8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7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8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7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8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7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8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7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8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7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8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7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8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7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8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7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8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7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8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7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8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7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8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7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8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7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8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7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8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7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8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7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8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7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8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7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8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7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8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7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8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7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8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7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8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7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8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7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8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7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8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7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8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7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8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7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8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7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8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7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8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7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8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7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8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7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8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7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8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7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8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7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8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7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8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7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8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7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8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7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8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7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8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7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8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7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8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7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8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7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8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7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8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7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8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7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8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7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8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7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8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7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8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7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8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7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8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7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8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7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8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7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8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7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8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7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8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7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8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7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8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7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8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7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8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7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8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7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8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7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8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7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8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7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8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7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8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7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8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7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8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7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8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7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8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7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8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7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8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7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8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7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8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7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8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7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8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7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8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7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8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7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8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7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8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7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8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7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8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7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8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7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8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7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8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7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8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7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8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7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8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7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8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7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8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7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8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7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8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7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8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7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8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7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8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7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8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7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8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7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8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7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8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7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8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7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8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7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8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7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8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7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8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7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8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7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8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7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8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7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8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7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8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7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8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7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8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7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8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7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8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7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8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7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8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7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8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7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8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7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8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7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8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7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8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7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8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7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8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7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8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7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8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7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8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7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8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7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8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7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8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7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8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7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8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7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8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7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8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7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8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7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8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7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8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7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8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7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8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7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8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7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8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7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8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7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8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7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8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7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8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7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8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7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8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7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8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7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8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7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8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7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8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7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8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7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8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7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8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7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8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7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8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7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8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7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8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7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8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7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8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7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8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7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8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7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8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7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8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7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8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7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8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7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8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7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8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7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8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7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8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7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8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7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8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7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8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7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8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7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8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7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8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7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8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7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8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7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8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7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8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7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8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7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8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7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8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7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8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7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8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7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8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7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8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7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8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7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8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7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8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7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8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7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8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7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8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7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8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7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8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7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8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7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8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7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8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7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8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7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8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7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8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7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8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7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8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7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8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7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8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7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8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7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8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7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8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7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8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7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8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7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8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7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8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7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8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7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8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7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8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7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8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7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8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7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8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7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8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7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8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7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8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7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8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7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8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7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8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7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8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7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8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7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8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7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8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7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8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7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8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7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8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7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8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7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8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7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8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7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8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7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8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7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8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7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8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7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8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7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8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7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8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7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8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7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8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7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8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7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8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7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8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7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8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7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8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7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8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7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8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7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8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7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8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7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8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7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8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7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8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7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8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7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8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7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8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7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8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7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8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7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8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7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8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7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8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7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8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7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8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7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8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7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8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7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8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7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8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7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8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7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8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7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8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7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8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7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8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7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8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7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8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7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8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7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8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7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8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7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8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7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8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7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8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7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8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7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8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7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8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7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8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7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8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7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8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7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8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7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8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7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8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7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8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7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8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7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8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7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8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7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8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7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8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7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8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7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8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7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8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7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8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7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8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7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8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7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8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7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8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7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8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7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8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7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8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7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8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7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8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7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8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7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8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7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8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7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8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7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8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7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8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7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8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7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8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7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8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7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8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7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8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7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8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7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8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7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8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7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8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7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8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7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8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7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8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7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8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7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8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7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8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7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8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7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8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7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8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7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8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7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8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7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8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7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8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7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8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7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8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7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8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7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8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7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8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7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8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7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8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7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8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7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8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7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8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7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8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7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8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7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8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7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8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7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8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7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8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7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8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7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8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7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8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7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8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7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8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7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8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7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8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7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8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7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8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7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8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7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8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7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8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7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8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7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8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7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8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7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8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7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8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7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8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7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8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7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8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7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8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7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8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7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8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7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8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7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8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7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8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7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8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7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8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7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8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7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8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7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8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7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8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7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8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7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8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7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8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7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8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7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8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7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8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7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8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7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8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7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8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7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8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7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8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7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8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7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8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7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8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7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8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7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8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7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8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7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8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7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8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7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8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7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8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7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8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7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8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7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8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7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8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7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8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7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8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7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8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7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8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7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8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7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8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7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8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7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8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7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8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7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8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7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8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7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8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7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8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7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8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7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8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7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8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7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8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7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8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7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8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7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8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7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8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7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8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7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8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7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8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7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8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7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8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7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8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7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8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7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8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7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8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7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8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7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8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7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8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7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8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7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8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7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8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7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8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7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8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7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8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7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8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7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8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7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8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7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8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7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8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7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8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7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8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7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8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7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8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7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8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7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8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7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8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7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8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7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8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7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8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7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8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7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8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7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8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7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8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7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8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7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8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7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8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7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8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7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8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7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8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7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8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7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8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7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8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7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8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7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8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7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8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7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8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7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8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7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8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7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8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7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8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7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8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7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8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7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8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7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8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7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8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7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8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7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8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7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8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7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8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7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8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7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8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7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8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7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8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7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8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7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8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7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8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7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8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7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8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7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8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7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8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7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8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7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8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7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8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7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8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7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8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7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8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7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8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7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8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7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8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7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8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7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8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7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8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7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8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7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8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7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8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7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8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7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8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7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8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7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8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7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8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7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8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7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8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7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8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7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8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7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8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7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8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7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8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7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8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7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8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7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8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7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8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7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8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7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8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7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8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7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8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7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8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7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8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7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8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7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8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7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8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7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8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7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8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7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8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7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8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7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8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7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8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7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8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7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8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7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8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7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8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7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8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7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8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7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8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7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8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7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8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7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8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7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8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7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8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7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8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7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8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7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8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7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8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7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8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7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8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7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8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7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8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7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8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7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8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7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8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7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8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7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8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7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8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7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8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7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8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7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8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7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8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7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8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7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8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7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8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7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8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7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8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7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8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7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8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7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8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7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8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7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8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7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8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7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8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7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8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7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8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7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8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7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8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7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8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7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8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7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8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7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8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7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8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7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8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7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8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7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8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7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8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7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8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7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8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7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8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7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8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7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8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7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8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7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8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7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8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7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8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7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8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7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8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7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8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7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8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7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8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7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8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7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8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7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8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7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8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7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8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7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8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7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8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7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8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7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8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7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8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7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8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7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8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7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8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7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8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7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8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7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8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7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8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7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8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7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8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7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8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7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8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7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8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7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8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7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8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7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8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7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8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7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8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7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8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7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8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7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8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7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8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7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8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7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8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7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8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7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8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7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8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7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8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7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8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7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8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7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8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7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8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7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8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7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8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7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8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7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8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7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8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7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8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7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8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7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8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7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8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7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8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7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8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7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8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7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8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7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8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7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8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7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8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7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8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7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8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7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8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7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8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7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8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7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8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7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8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7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8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7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8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7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8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7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8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7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8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7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8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7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8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7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8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7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8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7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8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7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8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7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8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7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8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7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8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7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8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7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8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7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8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7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8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7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8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7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8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7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8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7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8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7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8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7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8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7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8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7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8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7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8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7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8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7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8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7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8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7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8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7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8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7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8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7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8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7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8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7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8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7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8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7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8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7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8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7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8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7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8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7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8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7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8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7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8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7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8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7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8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7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8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7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8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7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8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7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8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7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8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7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8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7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8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7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8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7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8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7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8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7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8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7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8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7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8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7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8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7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8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7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8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7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8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7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8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7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8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7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8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7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8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7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8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7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8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7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8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7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8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7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8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7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8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7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8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7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8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7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8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7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8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7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8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7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8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7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8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7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8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7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8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7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8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7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8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7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8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7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8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