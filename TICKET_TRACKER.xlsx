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<sst xmlns="http://schemas.openxmlformats.org/spreadsheetml/2006/main" count="5" uniqueCount="5">
  <si>
    <t xml:space="preserve">  </t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</si>
  <si>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</si>
  <si>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</si>
  <si>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</si>
  <si>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TIKET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</si>
</sst>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20">
    <font>
      <sz val="10"/>
      <color theme="1"/>
      <name val="Calibri"/>
      <family val="2"/>
      <scheme val="minor"/>
    </font>
    <font>
      <sz val="9.75"/>
      <color rgb="FF1F2329"/>
      <name val="Calibri"/>
      <family val="2"/>
      <scheme val="minor"/>
    </font>
    <font>
      <b val="true"/>
      <sz val="13.5"/>
      <color rgb="FF000000"/>
      <name val="Calibri"/>
      <family val="2"/>
      <scheme val="minor"/>
    </font>
    <font>
      <b val="true"/>
      <sz val="13.5"/>
      <color rgb="FFCE93D8"/>
      <name val="Calibri"/>
      <family val="2"/>
      <scheme val="minor"/>
    </font>
    <font>
      <b val="true"/>
      <sz val="13.5"/>
      <color rgb="FF1F2329"/>
      <name val="Calibri"/>
      <family val="2"/>
      <scheme val="minor"/>
    </font>
    <font>
      <b val="true"/>
      <sz val="13.5"/>
      <color rgb="FF64B5F6"/>
      <name val="Calibri"/>
      <family val="2"/>
      <scheme val="minor"/>
    </font>
    <font>
      <sz val="9.75"/>
      <color rgb="FF000000"/>
      <name val="Calibri"/>
      <family val="2"/>
      <scheme val="minor"/>
    </font>
    <font>
      <b val="true"/>
      <sz val="9.75"/>
      <color rgb="FF000000"/>
      <name val="Calibri"/>
      <family val="2"/>
      <scheme val="minor"/>
    </font>
    <font>
      <b val="true"/>
      <sz val="13.5"/>
      <color rgb="FFFFD700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sz val="7.5"/>
      <color rgb="FF1F2329"/>
      <name val="Calibri"/>
      <family val="2"/>
      <scheme val="minor"/>
    </font>
    <font>
      <b val="true"/>
      <sz val="12"/>
      <color rgb="FFFF5252"/>
      <name val="Calibri"/>
      <family val="2"/>
      <scheme val="minor"/>
    </font>
    <font>
      <b val="true"/>
      <sz val="9"/>
      <color rgb="FF1F2329"/>
      <name val="Calibri"/>
      <family val="2"/>
      <scheme val="minor"/>
    </font>
    <font>
      <b val="true"/>
      <sz val="9"/>
      <color rgb="FF64B5F6"/>
      <name val="Calibri"/>
      <family val="2"/>
      <scheme val="minor"/>
    </font>
    <font>
      <b val="true"/>
      <sz val="9"/>
      <color rgb="FFCE93D8"/>
      <name val="Calibri"/>
      <family val="2"/>
      <scheme val="minor"/>
    </font>
    <font>
      <sz val="9.75"/>
      <color rgb="FF000000"/>
      <name val="Calibri"/>
      <family val="2"/>
      <scheme val="minor"/>
    </font>
  </fonts>
  <fills count="38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C9B04"/>
        <bgColor/>
      </patternFill>
    </fill>
    <fill>
      <patternFill patternType="solid">
        <fgColor rgb="FF4A148C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795101"/>
        <bgColor/>
      </patternFill>
    </fill>
    <fill>
      <patternFill patternType="solid">
        <fgColor rgb="FFFF8F00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3D0000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B71C1C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</fills>
  <borders count="40">
    <border>
      <left/>
      <right/>
      <top/>
      <bottom/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/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373C43"/>
      </left>
      <right/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4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1" fillId="0" fontId="1" numFmtId="0" xfId="0">
      <alignment vertical="center"/>
    </xf>
    <xf applyAlignment="true" applyBorder="false" applyFill="true" applyFont="true" applyNumberFormat="false" applyProtection="false" borderId="2" fillId="2" fontId="2" numFmtId="0" xfId="0">
      <alignment horizontal="center" vertical="center" wrapText="true"/>
    </xf>
    <xf applyAlignment="true" applyBorder="false" applyFill="true" applyFont="true" applyNumberFormat="false" applyProtection="false" borderId="3" fillId="3" fontId="3" numFmtId="0" xfId="0">
      <alignment horizontal="center" vertical="center" wrapText="true"/>
    </xf>
    <xf applyAlignment="true" applyBorder="false" applyFill="true" applyFont="true" applyNumberFormat="false" applyProtection="false" borderId="4" fillId="4" fontId="4" numFmtId="0" xfId="0">
      <alignment horizontal="center" vertical="center" wrapText="true"/>
    </xf>
    <xf applyAlignment="true" applyBorder="false" applyFill="true" applyFont="true" applyNumberFormat="false" applyProtection="false" borderId="5" fillId="5" fontId="5" numFmtId="0" xfId="0">
      <alignment horizontal="center" vertical="center" wrapText="true"/>
    </xf>
    <xf applyAlignment="true" applyBorder="false" applyFill="true" applyFont="true" applyNumberFormat="false" applyProtection="false" borderId="6" fillId="6" fontId="6" numFmtId="0" xfId="0">
      <alignment horizontal="center" vertical="center"/>
    </xf>
    <xf applyAlignment="true" applyBorder="false" applyFill="true" applyFont="true" applyNumberFormat="false" applyProtection="false" borderId="7" fillId="7" fontId="7" numFmtId="0" xfId="0">
      <alignment vertical="center"/>
    </xf>
    <xf applyAlignment="true" applyBorder="false" applyFill="true" applyFont="true" applyNumberFormat="false" applyProtection="false" borderId="8" fillId="8" fontId="8" numFmtId="0" xfId="0">
      <alignment horizontal="center" vertical="center" wrapText="true"/>
    </xf>
    <xf applyAlignment="true" applyBorder="false" applyFill="true" applyFont="true" applyNumberFormat="false" applyProtection="false" borderId="9" fillId="9" fontId="9" numFmtId="0" xfId="0">
      <alignment horizontal="center" vertical="center" wrapText="true"/>
    </xf>
    <xf applyAlignment="true" applyBorder="false" applyFill="true" applyFont="true" applyNumberFormat="false" applyProtection="false" borderId="10" fillId="10" fontId="10" numFmtId="0" xfId="0">
      <alignment horizontal="left" vertical="center" wrapText="true"/>
    </xf>
    <xf applyAlignment="true" applyBorder="false" applyFill="true" applyFont="true" applyNumberFormat="true" applyProtection="false" borderId="11" fillId="11" fontId="11" numFmtId="164" xfId="0">
      <alignment horizontal="center" vertical="center" wrapText="true"/>
    </xf>
    <xf applyAlignment="true" applyBorder="false" applyFill="true" applyFont="true" applyNumberFormat="false" applyProtection="false" borderId="12" fillId="12" fontId="11" numFmtId="0" xfId="0">
      <alignment horizontal="center" vertical="center" wrapText="true"/>
    </xf>
    <xf applyAlignment="true" applyBorder="false" applyFill="true" applyFont="true" applyNumberFormat="false" applyProtection="false" borderId="13" fillId="13" fontId="12" numFmtId="0" xfId="0">
      <alignment horizontal="center" vertical="center" wrapText="true"/>
    </xf>
    <xf applyAlignment="true" applyBorder="false" applyFill="true" applyFont="true" applyNumberFormat="false" applyProtection="false" borderId="14" fillId="14" fontId="12" numFmtId="0" xfId="0">
      <alignment horizontal="center" vertical="center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1" numFmtId="0" xfId="0">
      <alignment horizontal="center" vertical="center" wrapText="true"/>
    </xf>
    <xf applyAlignment="true" applyBorder="false" applyFill="true" applyFont="true" applyNumberFormat="false" applyProtection="false" borderId="17" fillId="17" fontId="13" numFmtId="0" xfId="0">
      <alignment horizontal="center" vertical="center" wrapText="true"/>
    </xf>
    <xf applyAlignment="true" applyBorder="false" applyFill="true" applyFont="true" applyNumberFormat="false" applyProtection="false" borderId="18" fillId="18" fontId="9" numFmtId="0" xfId="0">
      <alignment horizontal="left" vertical="bottom" wrapText="true"/>
    </xf>
    <xf applyAlignment="true" applyBorder="false" applyFill="true" applyFont="true" applyNumberFormat="false" applyProtection="false" borderId="19" fillId="19" fontId="12" numFmtId="0" xfId="0">
      <alignment horizontal="center" vertical="center" wrapText="true"/>
    </xf>
    <xf applyAlignment="true" applyBorder="false" applyFill="true" applyFont="true" applyNumberFormat="false" applyProtection="false" borderId="20" fillId="20" fontId="14" numFmtId="0" xfId="0">
      <alignment horizontal="center" vertical="center" wrapText="true"/>
    </xf>
    <xf applyAlignment="true" applyBorder="false" applyFill="true" applyFont="true" applyNumberFormat="false" applyProtection="false" borderId="21" fillId="21" fontId="11" numFmtId="0" xfId="0">
      <alignment horizontal="center" vertical="center" wrapText="true"/>
    </xf>
    <xf applyAlignment="true" applyBorder="false" applyFill="true" applyFont="true" applyNumberFormat="false" applyProtection="false" borderId="22" fillId="22" fontId="11" numFmtId="0" xfId="0">
      <alignment horizontal="center" vertical="center" wrapText="true"/>
    </xf>
    <xf applyAlignment="true" applyBorder="false" applyFill="true" applyFont="true" applyNumberFormat="false" applyProtection="false" borderId="23" fillId="23" fontId="2" numFmtId="0" xfId="0">
      <alignment horizontal="center" vertical="center"/>
    </xf>
    <xf applyAlignment="true" applyBorder="false" applyFill="true" applyFont="true" applyNumberFormat="false" applyProtection="false" borderId="24" fillId="24" fontId="10" numFmtId="0" xfId="0">
      <alignment horizontal="center" vertical="center" wrapText="true"/>
    </xf>
    <xf applyAlignment="true" applyBorder="false" applyFill="true" applyFont="true" applyNumberFormat="false" applyProtection="false" borderId="25" fillId="25" fontId="13" numFmtId="0" xfId="0">
      <alignment horizontal="center" vertical="center" wrapText="true"/>
    </xf>
    <xf applyAlignment="true" applyBorder="false" applyFill="true" applyFont="true" applyNumberFormat="false" applyProtection="false" borderId="26" fillId="26" fontId="15" numFmtId="0" xfId="0">
      <alignment horizontal="center" vertical="center" wrapText="true"/>
    </xf>
    <xf applyAlignment="true" applyBorder="false" applyFill="true" applyFont="true" applyNumberFormat="false" applyProtection="false" borderId="27" fillId="27" fontId="16" numFmtId="0" xfId="0">
      <alignment horizontal="center" vertical="center" wrapText="true"/>
    </xf>
    <xf applyAlignment="true" applyBorder="false" applyFill="true" applyFont="true" applyNumberFormat="false" applyProtection="false" borderId="28" fillId="28" fontId="10" numFmtId="0" xfId="0">
      <alignment horizontal="left" vertical="center" wrapText="true"/>
    </xf>
    <xf applyAlignment="true" applyBorder="false" applyFill="true" applyFont="true" applyNumberFormat="false" applyProtection="false" borderId="29" fillId="29" fontId="6" numFmtId="0" xfId="0">
      <alignment horizontal="center" vertical="center"/>
    </xf>
    <xf applyAlignment="true" applyBorder="false" applyFill="true" applyFont="true" applyNumberFormat="false" applyProtection="false" borderId="30" fillId="30" fontId="17" numFmtId="0" xfId="0">
      <alignment horizontal="center" vertical="center" wrapText="true"/>
    </xf>
    <xf applyAlignment="true" applyBorder="false" applyFill="true" applyFont="true" applyNumberFormat="false" applyProtection="false" borderId="31" fillId="31" fontId="10" numFmtId="0" xfId="0">
      <alignment horizontal="center" vertical="center" wrapText="true"/>
    </xf>
    <xf applyAlignment="true" applyBorder="false" applyFill="true" applyFont="true" applyNumberFormat="false" applyProtection="false" borderId="32" fillId="32" fontId="18" numFmtId="0" xfId="0">
      <alignment horizontal="center" vertical="center" wrapText="true"/>
    </xf>
    <xf applyAlignment="true" applyBorder="false" applyFill="true" applyFont="true" applyNumberFormat="false" applyProtection="false" borderId="33" fillId="33" fontId="11" numFmtId="0" xfId="0">
      <alignment horizontal="center" vertical="center" wrapText="true"/>
    </xf>
    <xf applyAlignment="true" applyBorder="false" applyFill="false" applyFont="true" applyNumberFormat="false" applyProtection="false" borderId="34" fillId="0" fontId="9" numFmtId="0" xfId="0">
      <alignment horizontal="left" vertical="bottom" wrapText="true"/>
    </xf>
    <xf applyAlignment="true" applyBorder="false" applyFill="true" applyFont="true" applyNumberFormat="false" applyProtection="false" borderId="35" fillId="34" fontId="13" numFmtId="0" xfId="0">
      <alignment horizontal="center" vertical="center" wrapText="true"/>
    </xf>
    <xf applyAlignment="true" applyBorder="false" applyFill="true" applyFont="true" applyNumberFormat="false" applyProtection="false" borderId="36" fillId="35" fontId="15" numFmtId="0" xfId="0">
      <alignment horizontal="center" vertical="center" wrapText="true"/>
    </xf>
    <xf applyAlignment="true" applyBorder="false" applyFill="true" applyFont="true" applyNumberFormat="false" applyProtection="false" borderId="37" fillId="36" fontId="13" numFmtId="0" xfId="0">
      <alignment horizontal="center" vertical="center" wrapText="true"/>
    </xf>
    <xf applyAlignment="true" applyBorder="false" applyFill="true" applyFont="true" applyNumberFormat="false" applyProtection="false" borderId="38" fillId="37" fontId="7" numFmtId="0" xfId="0">
      <alignment vertical="center"/>
    </xf>
    <xf applyAlignment="true" applyBorder="false" applyFill="false" applyFont="true" applyNumberFormat="false" applyProtection="false" borderId="39" fillId="0" fontId="19" numFmtId="0" xfId="0">
      <alignment horizontal="center"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3"/>
    <col collapsed="false" customWidth="true" hidden="false" max="3" min="3" style="0" width="14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5" t="str">
        <v>MEMBER</v>
      </c>
      <c r="B2" s="15"/>
      <c r="C2" s="11">
        <v>46111</v>
      </c>
      <c r="D2" s="11">
        <v>46112</v>
      </c>
      <c r="E2" s="11">
        <v>46113</v>
      </c>
      <c r="F2" s="11">
        <v>46114</v>
      </c>
      <c r="G2" s="11">
        <v>46115</v>
      </c>
      <c r="H2" s="11">
        <v>46118</v>
      </c>
      <c r="I2" s="11">
        <v>46119</v>
      </c>
      <c r="J2" s="11">
        <v>46120</v>
      </c>
      <c r="K2" s="11">
        <v>46121</v>
      </c>
      <c r="L2" s="11">
        <v>46122</v>
      </c>
      <c r="M2" s="11">
        <v>46125</v>
      </c>
      <c r="N2" s="11">
        <v>46126</v>
      </c>
      <c r="O2" s="11">
        <v>46127</v>
      </c>
      <c r="P2" s="11">
        <v>46128</v>
      </c>
      <c r="Q2" s="11">
        <v>46129</v>
      </c>
      <c r="R2" s="11">
        <v>46132</v>
      </c>
      <c r="S2" s="11">
        <v>46133</v>
      </c>
      <c r="T2" s="11">
        <v>46134</v>
      </c>
      <c r="U2" s="11">
        <v>46135</v>
      </c>
      <c r="V2" s="11">
        <v>46136</v>
      </c>
      <c r="W2" s="11">
        <v>46139</v>
      </c>
      <c r="X2" s="11">
        <v>46140</v>
      </c>
      <c r="Y2" s="11">
        <v>46141</v>
      </c>
      <c r="Z2" s="11">
        <v>46142</v>
      </c>
      <c r="AA2" s="13" t="str">
        <v>Total
Tiket</v>
      </c>
      <c r="AB2" s="14" t="str">
        <v>Streak
(manual)</v>
      </c>
      <c r="AC2" s="12" t="s">
        <v>3</v>
      </c>
      <c r="AD2" s="12" t="s">
        <v>1</v>
      </c>
      <c r="AE2" s="16" t="s">
        <v>2</v>
      </c>
    </row>
    <row r="3">
      <c r="A3" s="15"/>
      <c r="B3" s="15"/>
      <c r="C3" s="20" t="str">
        <v>Sen</v>
      </c>
      <c r="D3" s="20" t="str">
        <v>Sel</v>
      </c>
      <c r="E3" s="20" t="str">
        <v>Rab</v>
      </c>
      <c r="F3" s="20" t="str">
        <v>Kam</v>
      </c>
      <c r="G3" s="20" t="str">
        <v>Jum</v>
      </c>
      <c r="H3" s="20" t="str">
        <v>Sen</v>
      </c>
      <c r="I3" s="20" t="str">
        <v>Sel</v>
      </c>
      <c r="J3" s="20" t="str">
        <v>Rab</v>
      </c>
      <c r="K3" s="20" t="str">
        <v>Kam</v>
      </c>
      <c r="L3" s="20" t="str">
        <v>Jum</v>
      </c>
      <c r="M3" s="20" t="str">
        <v>Sen</v>
      </c>
      <c r="N3" s="20" t="str">
        <v>Sel</v>
      </c>
      <c r="O3" s="20" t="str">
        <v>Rab</v>
      </c>
      <c r="P3" s="20" t="str">
        <v>Kam</v>
      </c>
      <c r="Q3" s="20" t="str">
        <v>Jum</v>
      </c>
      <c r="R3" s="20" t="str">
        <v>Sen</v>
      </c>
      <c r="S3" s="20" t="str">
        <v>Sel</v>
      </c>
      <c r="T3" s="20" t="str">
        <v>Rab</v>
      </c>
      <c r="U3" s="20" t="str">
        <v>Kam</v>
      </c>
      <c r="V3" s="20" t="str">
        <v>Jum</v>
      </c>
      <c r="W3" s="20" t="str">
        <v>Sen</v>
      </c>
      <c r="X3" s="20" t="str">
        <v>Sel</v>
      </c>
      <c r="Y3" s="20" t="str">
        <v>Rab</v>
      </c>
      <c r="Z3" s="20" t="str">
        <v>Kam</v>
      </c>
      <c r="AA3" s="21"/>
      <c r="AB3" s="22"/>
      <c r="AC3" s="12"/>
      <c r="AD3" s="12"/>
      <c r="AE3" s="16"/>
    </row>
    <row r="4">
      <c r="A4" s="18" t="str">
        <v>
</v>
      </c>
      <c r="B4" s="19" t="str">
        <v>TOTAL</v>
      </c>
      <c r="C4" s="17">
        <f>SUM(C5:C104)</f>
      </c>
      <c r="D4" s="17">
        <f>SUM(D5:D104)</f>
      </c>
      <c r="E4" s="17">
        <f>SUM(E5:E104)</f>
      </c>
      <c r="F4" s="17">
        <f>SUM(F5:F104)</f>
      </c>
      <c r="G4" s="17">
        <f>SUM(G5:G104)</f>
      </c>
      <c r="H4" s="17">
        <f>SUM(H5:H104)</f>
      </c>
      <c r="I4" s="17">
        <f>SUM(I5:I104)</f>
      </c>
      <c r="J4" s="17">
        <f>SUM(J5:J104)</f>
      </c>
      <c r="K4" s="17">
        <f>SUM(K5:K104)</f>
      </c>
      <c r="L4" s="17">
        <f>SUM(L5:L104)</f>
      </c>
      <c r="M4" s="17">
        <f>SUM(M5:M104)</f>
      </c>
      <c r="N4" s="17">
        <f>SUM(N5:N104)</f>
      </c>
      <c r="O4" s="17">
        <f>SUM(O5:O104)</f>
      </c>
      <c r="P4" s="17">
        <f>SUM(P5:P104)</f>
      </c>
      <c r="Q4" s="17">
        <f>SUM(Q5:Q104)</f>
      </c>
      <c r="R4" s="17">
        <f>SUM(R5:R104)</f>
      </c>
      <c r="S4" s="17">
        <f>SUM(S5:S104)</f>
      </c>
      <c r="T4" s="17">
        <f>SUM(T5:T104)</f>
      </c>
      <c r="U4" s="17">
        <f>SUM(U5:U104)</f>
      </c>
      <c r="V4" s="17">
        <f>SUM(V5:V104)</f>
      </c>
      <c r="W4" s="17">
        <f>SUM(W5:W104)</f>
      </c>
      <c r="X4" s="17">
        <f>SUM(X5:X104)</f>
      </c>
      <c r="Y4" s="17">
        <f>SUM(Y5:Y104)</f>
      </c>
      <c r="Z4" s="17">
        <f>SUM(Z5:Z104)</f>
      </c>
      <c r="AA4" s="17">
        <f>SUM(AA5:AA104)</f>
      </c>
      <c r="AB4" s="17">
        <f>SUM(AB5:AB104)</f>
      </c>
      <c r="AC4" s="17">
        <f>SUM(AC5:AC104)</f>
      </c>
      <c r="AD4" s="17">
        <f>SUM(AD5:AD104)</f>
      </c>
      <c r="AE4" s="17">
        <f>SUM(AE5:AE104)</f>
      </c>
    </row>
    <row r="5">
      <c r="A5" s="9">
        <v>1</v>
      </c>
      <c r="B5" s="10" t="str">
        <v>Radensaleh</v>
      </c>
      <c r="C5" s="2">
        <v>1</v>
      </c>
      <c r="D5" s="2">
        <v>1</v>
      </c>
      <c r="E5" s="2">
        <v>1</v>
      </c>
      <c r="F5" s="2">
        <v>1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4">
        <f>SUM(C5:Z5)</f>
      </c>
      <c r="AB5" s="5">
        <v>0</v>
      </c>
      <c r="AC5" s="3">
        <f>MIN(3, SUMPRODUCT((MOD(Streak!C5:Z5,5)=0)*(MOD(Streak!C5:Z5,10)&lt;&gt;0)*(Streak!C5:Z5&gt;0))) * 5</f>
      </c>
      <c r="AD5" s="3">
        <f>MIN(2, SUMPRODUCT((MOD(Streak!C5:Z5,10)=0)*(Streak!C5:Z5&gt;0))) * 20</f>
      </c>
      <c r="AE5" s="8">
        <f>SUM(AC5:AD5)</f>
      </c>
    </row>
    <row r="6">
      <c r="A6" s="9">
        <v>2</v>
      </c>
      <c r="B6" s="10" t="str">
        <v>Chepot</v>
      </c>
      <c r="C6" s="2">
        <v>1</v>
      </c>
      <c r="D6" s="2">
        <v>0</v>
      </c>
      <c r="E6" s="2">
        <v>1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4">
        <f>SUM(C6:Z6)</f>
      </c>
      <c r="AB6" s="5">
        <v>0</v>
      </c>
      <c r="AC6" s="3">
        <f>MIN(3, SUMPRODUCT((MOD(Streak!C6:Z6,5)=0)*(MOD(Streak!C6:Z6,10)&lt;&gt;0)*(Streak!C6:Z6&gt;0))) * 5</f>
      </c>
      <c r="AD6" s="3">
        <f>MIN(2, SUMPRODUCT((MOD(Streak!C6:Z6,10)=0)*(Streak!C6:Z6&gt;0))) * 20</f>
      </c>
      <c r="AE6" s="8">
        <f>SUM(AC6:AD6)</f>
      </c>
    </row>
    <row r="7">
      <c r="A7" s="9">
        <v>3</v>
      </c>
      <c r="B7" s="10" t="str">
        <v>irvin_1548314</v>
      </c>
      <c r="C7" s="2">
        <v>1</v>
      </c>
      <c r="D7" s="2">
        <v>1</v>
      </c>
      <c r="E7" s="2">
        <v>1</v>
      </c>
      <c r="F7" s="2">
        <v>1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4">
        <f>SUM(C7:Z7)</f>
      </c>
      <c r="AB7" s="5">
        <v>0</v>
      </c>
      <c r="AC7" s="3">
        <f>MIN(3, SUMPRODUCT((MOD(Streak!C7:Z7,5)=0)*(MOD(Streak!C7:Z7,10)&lt;&gt;0)*(Streak!C7:Z7&gt;0))) * 5</f>
      </c>
      <c r="AD7" s="3">
        <f>MIN(2, SUMPRODUCT((MOD(Streak!C7:Z7,10)=0)*(Streak!C7:Z7&gt;0))) * 20</f>
      </c>
      <c r="AE7" s="8">
        <f>SUM(AC7:AD7)</f>
      </c>
    </row>
    <row r="8">
      <c r="A8" s="9">
        <v>4</v>
      </c>
      <c r="B8" s="10" t="str">
        <v>efrio</v>
      </c>
      <c r="C8" s="2">
        <v>1</v>
      </c>
      <c r="D8" s="2">
        <v>1</v>
      </c>
      <c r="E8" s="2">
        <v>1</v>
      </c>
      <c r="F8" s="2">
        <v>1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4">
        <f>SUM(C8:Z8)</f>
      </c>
      <c r="AB8" s="5">
        <v>0</v>
      </c>
      <c r="AC8" s="3">
        <f>MIN(3, SUMPRODUCT((MOD(Streak!C8:Z8,5)=0)*(MOD(Streak!C8:Z8,10)&lt;&gt;0)*(Streak!C8:Z8&gt;0))) * 5</f>
      </c>
      <c r="AD8" s="3">
        <f>MIN(2, SUMPRODUCT((MOD(Streak!C8:Z8,10)=0)*(Streak!C8:Z8&gt;0))) * 20</f>
      </c>
      <c r="AE8" s="8">
        <f>SUM(AC8:AD8)</f>
      </c>
    </row>
    <row r="9">
      <c r="A9" s="9">
        <v>5</v>
      </c>
      <c r="B9" s="10" t="str">
        <v>yupid</v>
      </c>
      <c r="C9" s="2">
        <v>1</v>
      </c>
      <c r="D9" s="2">
        <v>1</v>
      </c>
      <c r="E9" s="2">
        <v>1</v>
      </c>
      <c r="F9" s="2">
        <v>1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4">
        <f>SUM(C9:Z9)</f>
      </c>
      <c r="AB9" s="5">
        <v>0</v>
      </c>
      <c r="AC9" s="3">
        <f>MIN(3, SUMPRODUCT((MOD(Streak!C9:Z9,5)=0)*(MOD(Streak!C9:Z9,10)&lt;&gt;0)*(Streak!C9:Z9&gt;0))) * 5</f>
      </c>
      <c r="AD9" s="3">
        <f>MIN(2, SUMPRODUCT((MOD(Streak!C9:Z9,10)=0)*(Streak!C9:Z9&gt;0))) * 20</f>
      </c>
      <c r="AE9" s="8">
        <f>SUM(AC9:AD9)</f>
      </c>
    </row>
    <row r="10">
      <c r="A10" s="9">
        <v>6</v>
      </c>
      <c r="B10" s="10" t="str">
        <v>kilek</v>
      </c>
      <c r="C10" s="2">
        <v>1</v>
      </c>
      <c r="D10" s="2">
        <v>1</v>
      </c>
      <c r="E10" s="2">
        <v>1</v>
      </c>
      <c r="F10" s="2">
        <v>1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4">
        <f>SUM(C10:Z10)</f>
      </c>
      <c r="AB10" s="5">
        <v>0</v>
      </c>
      <c r="AC10" s="3">
        <f>MIN(3, SUMPRODUCT((MOD(Streak!C10:Z10,5)=0)*(MOD(Streak!C10:Z10,10)&lt;&gt;0)*(Streak!C10:Z10&gt;0))) * 5</f>
      </c>
      <c r="AD10" s="3">
        <f>MIN(2, SUMPRODUCT((MOD(Streak!C10:Z10,10)=0)*(Streak!C10:Z10&gt;0))) * 20</f>
      </c>
      <c r="AE10" s="8">
        <f>SUM(AC10:AD10)</f>
      </c>
    </row>
    <row r="11">
      <c r="A11" s="9">
        <v>7</v>
      </c>
      <c r="B11" s="10" t="str">
        <v>Profit</v>
      </c>
      <c r="C11" s="2">
        <v>1</v>
      </c>
      <c r="D11" s="2">
        <v>1</v>
      </c>
      <c r="E11" s="2">
        <v>1</v>
      </c>
      <c r="F11" s="2">
        <v>1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4">
        <f>SUM(C11:Z11)</f>
      </c>
      <c r="AB11" s="5">
        <v>0</v>
      </c>
      <c r="AC11" s="3">
        <f>MIN(3, SUMPRODUCT((MOD(Streak!C11:Z11,5)=0)*(MOD(Streak!C11:Z11,10)&lt;&gt;0)*(Streak!C11:Z11&gt;0))) * 5</f>
      </c>
      <c r="AD11" s="3">
        <f>MIN(2, SUMPRODUCT((MOD(Streak!C11:Z11,10)=0)*(Streak!C11:Z11&gt;0))) * 20</f>
      </c>
      <c r="AE11" s="8">
        <f>SUM(AC11:AD11)</f>
      </c>
    </row>
    <row r="12">
      <c r="A12" s="9">
        <v>8</v>
      </c>
      <c r="B12" s="10" t="str">
        <v>R389</v>
      </c>
      <c r="C12" s="2">
        <v>1</v>
      </c>
      <c r="D12" s="2">
        <v>1</v>
      </c>
      <c r="E12" s="2">
        <v>1</v>
      </c>
      <c r="F12" s="2">
        <v>1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4">
        <f>SUM(C12:Z12)</f>
      </c>
      <c r="AB12" s="5">
        <v>0</v>
      </c>
      <c r="AC12" s="3">
        <f>MIN(3, SUMPRODUCT((MOD(Streak!C12:Z12,5)=0)*(MOD(Streak!C12:Z12,10)&lt;&gt;0)*(Streak!C12:Z12&gt;0))) * 5</f>
      </c>
      <c r="AD12" s="3">
        <f>MIN(2, SUMPRODUCT((MOD(Streak!C12:Z12,10)=0)*(Streak!C12:Z12&gt;0))) * 20</f>
      </c>
      <c r="AE12" s="8">
        <f>SUM(AC12:AD12)</f>
      </c>
    </row>
    <row r="13">
      <c r="A13" s="9">
        <v>9</v>
      </c>
      <c r="B13" s="10" t="str">
        <v>Egen</v>
      </c>
      <c r="C13" s="2">
        <v>1</v>
      </c>
      <c r="D13" s="2">
        <v>1</v>
      </c>
      <c r="E13" s="2">
        <v>1</v>
      </c>
      <c r="F13" s="2">
        <v>1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4">
        <f>SUM(C13:Z13)</f>
      </c>
      <c r="AB13" s="5">
        <v>0</v>
      </c>
      <c r="AC13" s="3">
        <f>MIN(3, SUMPRODUCT((MOD(Streak!C13:Z13,5)=0)*(MOD(Streak!C13:Z13,10)&lt;&gt;0)*(Streak!C13:Z13&gt;0))) * 5</f>
      </c>
      <c r="AD13" s="3">
        <f>MIN(2, SUMPRODUCT((MOD(Streak!C13:Z13,10)=0)*(Streak!C13:Z13&gt;0))) * 20</f>
      </c>
      <c r="AE13" s="8">
        <f>SUM(AC13:AD13)</f>
      </c>
    </row>
    <row r="14">
      <c r="A14" s="9">
        <v>10</v>
      </c>
      <c r="B14" s="10" t="str">
        <v>JADE KING</v>
      </c>
      <c r="C14" s="2">
        <v>1</v>
      </c>
      <c r="D14" s="2">
        <v>1</v>
      </c>
      <c r="E14" s="2">
        <v>1</v>
      </c>
      <c r="F14" s="2">
        <v>1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4">
        <f>SUM(C14:Z14)</f>
      </c>
      <c r="AB14" s="5">
        <v>0</v>
      </c>
      <c r="AC14" s="3">
        <f>MIN(3, SUMPRODUCT((MOD(Streak!C14:Z14,5)=0)*(MOD(Streak!C14:Z14,10)&lt;&gt;0)*(Streak!C14:Z14&gt;0))) * 5</f>
      </c>
      <c r="AD14" s="3">
        <f>MIN(2, SUMPRODUCT((MOD(Streak!C14:Z14,10)=0)*(Streak!C14:Z14&gt;0))) * 20</f>
      </c>
      <c r="AE14" s="8">
        <f>SUM(AC14:AD14)</f>
      </c>
    </row>
    <row r="15">
      <c r="A15" s="9">
        <v>11</v>
      </c>
      <c r="B15" s="10" t="str">
        <v>AV</v>
      </c>
      <c r="C15" s="2">
        <v>1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4">
        <f>SUM(C15:Z15)</f>
      </c>
      <c r="AB15" s="5">
        <v>0</v>
      </c>
      <c r="AC15" s="3">
        <f>MIN(3, SUMPRODUCT((MOD(Streak!C15:Z15,5)=0)*(MOD(Streak!C15:Z15,10)&lt;&gt;0)*(Streak!C15:Z15&gt;0))) * 5</f>
      </c>
      <c r="AD15" s="3">
        <f>MIN(2, SUMPRODUCT((MOD(Streak!C15:Z15,10)=0)*(Streak!C15:Z15&gt;0))) * 20</f>
      </c>
      <c r="AE15" s="8">
        <f>SUM(AC15:AD15)</f>
      </c>
    </row>
    <row r="16">
      <c r="A16" s="9">
        <v>12</v>
      </c>
      <c r="B16" s="10" t="str">
        <v>Yul Riadi</v>
      </c>
      <c r="C16" s="2">
        <v>1</v>
      </c>
      <c r="D16" s="2">
        <v>1</v>
      </c>
      <c r="E16" s="2">
        <v>1</v>
      </c>
      <c r="F16" s="2">
        <v>1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4">
        <f>SUM(C16:Z16)</f>
      </c>
      <c r="AB16" s="5">
        <v>0</v>
      </c>
      <c r="AC16" s="3">
        <f>MIN(3, SUMPRODUCT((MOD(Streak!C16:Z16,5)=0)*(MOD(Streak!C16:Z16,10)&lt;&gt;0)*(Streak!C16:Z16&gt;0))) * 5</f>
      </c>
      <c r="AD16" s="3">
        <f>MIN(2, SUMPRODUCT((MOD(Streak!C16:Z16,10)=0)*(Streak!C16:Z16&gt;0))) * 20</f>
      </c>
      <c r="AE16" s="8">
        <f>SUM(AC16:AD16)</f>
      </c>
    </row>
    <row r="17">
      <c r="A17" s="9">
        <v>13</v>
      </c>
      <c r="B17" s="10" t="str">
        <v>BSMLH_CUAN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4">
        <f>SUM(C17:Z17)</f>
      </c>
      <c r="AB17" s="5">
        <v>0</v>
      </c>
      <c r="AC17" s="3">
        <f>MIN(3, SUMPRODUCT((MOD(Streak!C17:Z17,5)=0)*(MOD(Streak!C17:Z17,10)&lt;&gt;0)*(Streak!C17:Z17&gt;0))) * 5</f>
      </c>
      <c r="AD17" s="3">
        <f>MIN(2, SUMPRODUCT((MOD(Streak!C17:Z17,10)=0)*(Streak!C17:Z17&gt;0))) * 20</f>
      </c>
      <c r="AE17" s="8">
        <f>SUM(AC17:AD17)</f>
      </c>
    </row>
    <row r="18">
      <c r="A18" s="9">
        <v>14</v>
      </c>
      <c r="B18" s="10" t="str">
        <v>Maya</v>
      </c>
      <c r="C18" s="2">
        <v>1</v>
      </c>
      <c r="D18" s="2">
        <v>1</v>
      </c>
      <c r="E18" s="2">
        <v>1</v>
      </c>
      <c r="F18" s="2">
        <v>1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4">
        <f>SUM(C18:Z18)</f>
      </c>
      <c r="AB18" s="5">
        <v>0</v>
      </c>
      <c r="AC18" s="3">
        <f>MIN(3, SUMPRODUCT((MOD(Streak!C18:Z18,5)=0)*(MOD(Streak!C18:Z18,10)&lt;&gt;0)*(Streak!C18:Z18&gt;0))) * 5</f>
      </c>
      <c r="AD18" s="3">
        <f>MIN(2, SUMPRODUCT((MOD(Streak!C18:Z18,10)=0)*(Streak!C18:Z18&gt;0))) * 20</f>
      </c>
      <c r="AE18" s="8">
        <f>SUM(AC18:AD18)</f>
      </c>
    </row>
    <row r="19">
      <c r="A19" s="9">
        <v>15</v>
      </c>
      <c r="B19" s="10" t="str">
        <v>Mich</v>
      </c>
      <c r="C19" s="2">
        <v>1</v>
      </c>
      <c r="D19" s="2">
        <v>0</v>
      </c>
      <c r="E19" s="2">
        <v>1</v>
      </c>
      <c r="F19" s="2">
        <v>1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4">
        <f>SUM(C19:Z19)</f>
      </c>
      <c r="AB19" s="5">
        <v>0</v>
      </c>
      <c r="AC19" s="3">
        <f>MIN(3, SUMPRODUCT((MOD(Streak!C19:Z19,5)=0)*(MOD(Streak!C19:Z19,10)&lt;&gt;0)*(Streak!C19:Z19&gt;0))) * 5</f>
      </c>
      <c r="AD19" s="3">
        <f>MIN(2, SUMPRODUCT((MOD(Streak!C19:Z19,10)=0)*(Streak!C19:Z19&gt;0))) * 20</f>
      </c>
      <c r="AE19" s="8">
        <f>SUM(AC19:AD19)</f>
      </c>
    </row>
    <row r="20">
      <c r="A20" s="9">
        <v>16</v>
      </c>
      <c r="B20" s="10" t="str">
        <v>hyph90</v>
      </c>
      <c r="C20" s="2">
        <v>1</v>
      </c>
      <c r="D20" s="2">
        <v>0</v>
      </c>
      <c r="E20" s="2">
        <v>1</v>
      </c>
      <c r="F20" s="2">
        <v>1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4">
        <f>SUM(C20:Z20)</f>
      </c>
      <c r="AB20" s="5">
        <v>0</v>
      </c>
      <c r="AC20" s="3">
        <f>MIN(3, SUMPRODUCT((MOD(Streak!C20:Z20,5)=0)*(MOD(Streak!C20:Z20,10)&lt;&gt;0)*(Streak!C20:Z20&gt;0))) * 5</f>
      </c>
      <c r="AD20" s="3">
        <f>MIN(2, SUMPRODUCT((MOD(Streak!C20:Z20,10)=0)*(Streak!C20:Z20&gt;0))) * 20</f>
      </c>
      <c r="AE20" s="8">
        <f>SUM(AC20:AD20)</f>
      </c>
    </row>
    <row r="21">
      <c r="A21" s="9">
        <v>17</v>
      </c>
      <c r="B21" s="10" t="str">
        <v>CLOVER</v>
      </c>
      <c r="C21" s="2">
        <v>1</v>
      </c>
      <c r="D21" s="2">
        <v>1</v>
      </c>
      <c r="E21" s="2">
        <v>1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4">
        <f>SUM(C21:Z21)</f>
      </c>
      <c r="AB21" s="5">
        <v>0</v>
      </c>
      <c r="AC21" s="3">
        <f>MIN(3, SUMPRODUCT((MOD(Streak!C21:Z21,5)=0)*(MOD(Streak!C21:Z21,10)&lt;&gt;0)*(Streak!C21:Z21&gt;0))) * 5</f>
      </c>
      <c r="AD21" s="3">
        <f>MIN(2, SUMPRODUCT((MOD(Streak!C21:Z21,10)=0)*(Streak!C21:Z21&gt;0))) * 20</f>
      </c>
      <c r="AE21" s="8">
        <f>SUM(AC21:AD21)</f>
      </c>
    </row>
    <row r="22">
      <c r="A22" s="9">
        <v>18</v>
      </c>
      <c r="B22" s="10" t="str">
        <v>Hanya G</v>
      </c>
      <c r="C22" s="2">
        <v>1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4">
        <f>SUM(C22:Z22)</f>
      </c>
      <c r="AB22" s="5">
        <v>0</v>
      </c>
      <c r="AC22" s="3">
        <f>MIN(3, SUMPRODUCT((MOD(Streak!C22:Z22,5)=0)*(MOD(Streak!C22:Z22,10)&lt;&gt;0)*(Streak!C22:Z22&gt;0))) * 5</f>
      </c>
      <c r="AD22" s="3">
        <f>MIN(2, SUMPRODUCT((MOD(Streak!C22:Z22,10)=0)*(Streak!C22:Z22&gt;0))) * 20</f>
      </c>
      <c r="AE22" s="8">
        <f>SUM(AC22:AD22)</f>
      </c>
    </row>
    <row r="23">
      <c r="A23" s="9">
        <v>19</v>
      </c>
      <c r="B23" s="10" t="str">
        <v>Nilla Sahkrisna</v>
      </c>
      <c r="C23" s="2">
        <v>1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4">
        <f>SUM(C23:Z23)</f>
      </c>
      <c r="AB23" s="5">
        <v>0</v>
      </c>
      <c r="AC23" s="3">
        <f>MIN(3, SUMPRODUCT((MOD(Streak!C23:Z23,5)=0)*(MOD(Streak!C23:Z23,10)&lt;&gt;0)*(Streak!C23:Z23&gt;0))) * 5</f>
      </c>
      <c r="AD23" s="3">
        <f>MIN(2, SUMPRODUCT((MOD(Streak!C23:Z23,10)=0)*(Streak!C23:Z23&gt;0))) * 20</f>
      </c>
      <c r="AE23" s="8">
        <f>SUM(AC23:AD23)</f>
      </c>
    </row>
    <row r="24">
      <c r="A24" s="9">
        <v>20</v>
      </c>
      <c r="B24" s="10" t="str">
        <v>Gugum</v>
      </c>
      <c r="C24" s="2">
        <v>1</v>
      </c>
      <c r="D24" s="2">
        <v>1</v>
      </c>
      <c r="E24" s="2">
        <v>1</v>
      </c>
      <c r="F24" s="2">
        <v>1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4">
        <f>SUM(C24:Z24)</f>
      </c>
      <c r="AB24" s="5">
        <v>0</v>
      </c>
      <c r="AC24" s="3">
        <f>MIN(3, SUMPRODUCT((MOD(Streak!C24:Z24,5)=0)*(MOD(Streak!C24:Z24,10)&lt;&gt;0)*(Streak!C24:Z24&gt;0))) * 5</f>
      </c>
      <c r="AD24" s="3">
        <f>MIN(2, SUMPRODUCT((MOD(Streak!C24:Z24,10)=0)*(Streak!C24:Z24&gt;0))) * 20</f>
      </c>
      <c r="AE24" s="8">
        <f>SUM(AC24:AD24)</f>
      </c>
    </row>
    <row r="25">
      <c r="A25" s="9">
        <v>21</v>
      </c>
      <c r="B25" s="10" t="str">
        <v>Pak Ogah</v>
      </c>
      <c r="C25" s="2">
        <v>1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4">
        <f>SUM(C25:Z25)</f>
      </c>
      <c r="AB25" s="5">
        <v>0</v>
      </c>
      <c r="AC25" s="3">
        <f>MIN(3, SUMPRODUCT((MOD(Streak!C25:Z25,5)=0)*(MOD(Streak!C25:Z25,10)&lt;&gt;0)*(Streak!C25:Z25&gt;0))) * 5</f>
      </c>
      <c r="AD25" s="3">
        <f>MIN(2, SUMPRODUCT((MOD(Streak!C25:Z25,10)=0)*(Streak!C25:Z25&gt;0))) * 20</f>
      </c>
      <c r="AE25" s="8">
        <f>SUM(AC25:AD25)</f>
      </c>
    </row>
    <row r="26">
      <c r="A26" s="9">
        <v>22</v>
      </c>
      <c r="B26" s="10" t="str">
        <v>Yoshi</v>
      </c>
      <c r="C26" s="2">
        <v>1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4">
        <f>SUM(C26:Z26)</f>
      </c>
      <c r="AB26" s="5">
        <v>0</v>
      </c>
      <c r="AC26" s="3">
        <f>MIN(3, SUMPRODUCT((MOD(Streak!C26:Z26,5)=0)*(MOD(Streak!C26:Z26,10)&lt;&gt;0)*(Streak!C26:Z26&gt;0))) * 5</f>
      </c>
      <c r="AD26" s="3">
        <f>MIN(2, SUMPRODUCT((MOD(Streak!C26:Z26,10)=0)*(Streak!C26:Z26&gt;0))) * 20</f>
      </c>
      <c r="AE26" s="8">
        <f>SUM(AC26:AD26)</f>
      </c>
    </row>
    <row r="27">
      <c r="A27" s="9">
        <v>23</v>
      </c>
      <c r="B27" s="10" t="str">
        <v>Ennang</v>
      </c>
      <c r="C27" s="2">
        <v>1</v>
      </c>
      <c r="D27" s="2">
        <v>1</v>
      </c>
      <c r="E27" s="2">
        <v>1</v>
      </c>
      <c r="F27" s="2">
        <v>1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4">
        <f>SUM(C27:Z27)</f>
      </c>
      <c r="AB27" s="5">
        <v>0</v>
      </c>
      <c r="AC27" s="3">
        <f>MIN(3, SUMPRODUCT((MOD(Streak!C27:Z27,5)=0)*(MOD(Streak!C27:Z27,10)&lt;&gt;0)*(Streak!C27:Z27&gt;0))) * 5</f>
      </c>
      <c r="AD27" s="3">
        <f>MIN(2, SUMPRODUCT((MOD(Streak!C27:Z27,10)=0)*(Streak!C27:Z27&gt;0))) * 20</f>
      </c>
      <c r="AE27" s="8">
        <f>SUM(AC27:AD27)</f>
      </c>
    </row>
    <row r="28">
      <c r="A28" s="9">
        <v>24</v>
      </c>
      <c r="B28" s="10" t="str">
        <v>Mr. CuanTrus</v>
      </c>
      <c r="C28" s="2">
        <v>1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4">
        <f>SUM(C28:Z28)</f>
      </c>
      <c r="AB28" s="5">
        <v>0</v>
      </c>
      <c r="AC28" s="3">
        <f>MIN(3, SUMPRODUCT((MOD(Streak!C28:Z28,5)=0)*(MOD(Streak!C28:Z28,10)&lt;&gt;0)*(Streak!C28:Z28&gt;0))) * 5</f>
      </c>
      <c r="AD28" s="3">
        <f>MIN(2, SUMPRODUCT((MOD(Streak!C28:Z28,10)=0)*(Streak!C28:Z28&gt;0))) * 20</f>
      </c>
      <c r="AE28" s="8">
        <f>SUM(AC28:AD28)</f>
      </c>
    </row>
    <row r="29">
      <c r="A29" s="9">
        <v>25</v>
      </c>
      <c r="B29" s="10" t="str">
        <v>SETELANCUAN</v>
      </c>
      <c r="C29" s="2">
        <v>1</v>
      </c>
      <c r="D29" s="2">
        <v>0</v>
      </c>
      <c r="E29" s="2">
        <v>0</v>
      </c>
      <c r="F29" s="2">
        <v>1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4">
        <f>SUM(C29:Z29)</f>
      </c>
      <c r="AB29" s="5">
        <v>0</v>
      </c>
      <c r="AC29" s="3">
        <f>MIN(3, SUMPRODUCT((MOD(Streak!C29:Z29,5)=0)*(MOD(Streak!C29:Z29,10)&lt;&gt;0)*(Streak!C29:Z29&gt;0))) * 5</f>
      </c>
      <c r="AD29" s="3">
        <f>MIN(2, SUMPRODUCT((MOD(Streak!C29:Z29,10)=0)*(Streak!C29:Z29&gt;0))) * 20</f>
      </c>
      <c r="AE29" s="8">
        <f>SUM(AC29:AD29)</f>
      </c>
    </row>
    <row r="30">
      <c r="A30" s="9">
        <v>26</v>
      </c>
      <c r="B30" s="10" t="str">
        <v>Alfath</v>
      </c>
      <c r="C30" s="2">
        <v>1</v>
      </c>
      <c r="D30" s="2">
        <v>1</v>
      </c>
      <c r="E30" s="2">
        <v>1</v>
      </c>
      <c r="F30" s="2">
        <v>1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4">
        <f>SUM(C30:Z30)</f>
      </c>
      <c r="AB30" s="5">
        <v>0</v>
      </c>
      <c r="AC30" s="3">
        <f>MIN(3, SUMPRODUCT((MOD(Streak!C30:Z30,5)=0)*(MOD(Streak!C30:Z30,10)&lt;&gt;0)*(Streak!C30:Z30&gt;0))) * 5</f>
      </c>
      <c r="AD30" s="3">
        <f>MIN(2, SUMPRODUCT((MOD(Streak!C30:Z30,10)=0)*(Streak!C30:Z30&gt;0))) * 20</f>
      </c>
      <c r="AE30" s="8">
        <f>SUM(AC30:AD30)</f>
      </c>
    </row>
    <row r="31">
      <c r="A31" s="9">
        <v>27</v>
      </c>
      <c r="B31" s="10" t="str">
        <v>Azi</v>
      </c>
      <c r="C31" s="2">
        <v>1</v>
      </c>
      <c r="D31" s="2">
        <v>1</v>
      </c>
      <c r="E31" s="2">
        <v>0</v>
      </c>
      <c r="F31" s="2">
        <v>1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4">
        <f>SUM(C31:Z31)</f>
      </c>
      <c r="AB31" s="5">
        <v>0</v>
      </c>
      <c r="AC31" s="3">
        <f>MIN(3, SUMPRODUCT((MOD(Streak!C31:Z31,5)=0)*(MOD(Streak!C31:Z31,10)&lt;&gt;0)*(Streak!C31:Z31&gt;0))) * 5</f>
      </c>
      <c r="AD31" s="3">
        <f>MIN(2, SUMPRODUCT((MOD(Streak!C31:Z31,10)=0)*(Streak!C31:Z31&gt;0))) * 20</f>
      </c>
      <c r="AE31" s="8">
        <f>SUM(AC31:AD31)</f>
      </c>
    </row>
    <row r="32">
      <c r="A32" s="9">
        <v>28</v>
      </c>
      <c r="B32" s="10" t="str">
        <v>Adimaya79</v>
      </c>
      <c r="C32" s="2">
        <v>1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4">
        <f>SUM(C32:Z32)</f>
      </c>
      <c r="AB32" s="5">
        <v>0</v>
      </c>
      <c r="AC32" s="3">
        <f>MIN(3, SUMPRODUCT((MOD(Streak!C32:Z32,5)=0)*(MOD(Streak!C32:Z32,10)&lt;&gt;0)*(Streak!C32:Z32&gt;0))) * 5</f>
      </c>
      <c r="AD32" s="3">
        <f>MIN(2, SUMPRODUCT((MOD(Streak!C32:Z32,10)=0)*(Streak!C32:Z32&gt;0))) * 20</f>
      </c>
      <c r="AE32" s="8">
        <f>SUM(AC32:AD32)</f>
      </c>
    </row>
    <row r="33">
      <c r="A33" s="9">
        <v>29</v>
      </c>
      <c r="B33" s="10" t="str">
        <v>Bonnino</v>
      </c>
      <c r="C33" s="2">
        <v>1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4">
        <f>SUM(C33:Z33)</f>
      </c>
      <c r="AB33" s="5">
        <v>0</v>
      </c>
      <c r="AC33" s="3">
        <f>MIN(3, SUMPRODUCT((MOD(Streak!C33:Z33,5)=0)*(MOD(Streak!C33:Z33,10)&lt;&gt;0)*(Streak!C33:Z33&gt;0))) * 5</f>
      </c>
      <c r="AD33" s="3">
        <f>MIN(2, SUMPRODUCT((MOD(Streak!C33:Z33,10)=0)*(Streak!C33:Z33&gt;0))) * 20</f>
      </c>
      <c r="AE33" s="8">
        <f>SUM(AC33:AD33)</f>
      </c>
    </row>
    <row r="34">
      <c r="A34" s="9">
        <v>30</v>
      </c>
      <c r="B34" s="10" t="str">
        <v>Hui Soen Kiong</v>
      </c>
      <c r="C34" s="2">
        <v>1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4">
        <f>SUM(C34:Z34)</f>
      </c>
      <c r="AB34" s="5">
        <v>0</v>
      </c>
      <c r="AC34" s="3">
        <f>MIN(3, SUMPRODUCT((MOD(Streak!C34:Z34,5)=0)*(MOD(Streak!C34:Z34,10)&lt;&gt;0)*(Streak!C34:Z34&gt;0))) * 5</f>
      </c>
      <c r="AD34" s="3">
        <f>MIN(2, SUMPRODUCT((MOD(Streak!C34:Z34,10)=0)*(Streak!C34:Z34&gt;0))) * 20</f>
      </c>
      <c r="AE34" s="8">
        <f>SUM(AC34:AD34)</f>
      </c>
    </row>
    <row r="35">
      <c r="A35" s="6">
        <v>31</v>
      </c>
      <c r="B35" s="7" t="str">
        <v>JAMberAPA12</v>
      </c>
      <c r="C35" s="23">
        <v>0</v>
      </c>
      <c r="D35" s="23">
        <v>0</v>
      </c>
      <c r="E35" s="23">
        <v>1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4">
        <f>SUM(C35:Z35)</f>
      </c>
      <c r="AB35" s="5">
        <v>0</v>
      </c>
      <c r="AC35" s="3">
        <f>MIN(3, SUMPRODUCT((MOD(Streak!C35:Z35,5)=0)*(MOD(Streak!C35:Z35,10)&lt;&gt;0)*(Streak!C35:Z35&gt;0))) * 5</f>
      </c>
      <c r="AD35" s="3">
        <f>MIN(2, SUMPRODUCT((MOD(Streak!C35:Z35,10)=0)*(Streak!C35:Z35&gt;0))) * 20</f>
      </c>
      <c r="AE35" s="8">
        <f>SUM(AC35:AD35)</f>
      </c>
    </row>
    <row r="36">
      <c r="A36" s="6">
        <v>32</v>
      </c>
      <c r="B36" s="7" t="str">
        <v>FerryGood</v>
      </c>
      <c r="C36" s="23">
        <v>0</v>
      </c>
      <c r="D36" s="23">
        <v>0</v>
      </c>
      <c r="E36" s="23">
        <v>1</v>
      </c>
      <c r="F36" s="2">
        <v>0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4">
        <f>SUM(C36:Z36)</f>
      </c>
      <c r="AB36" s="5">
        <v>0</v>
      </c>
      <c r="AC36" s="3">
        <f>MIN(3, SUMPRODUCT((MOD(Streak!C36:Z36,5)=0)*(MOD(Streak!C36:Z36,10)&lt;&gt;0)*(Streak!C36:Z36&gt;0))) * 5</f>
      </c>
      <c r="AD36" s="3">
        <f>MIN(2, SUMPRODUCT((MOD(Streak!C36:Z36,10)=0)*(Streak!C36:Z36&gt;0))) * 20</f>
      </c>
      <c r="AE36" s="8">
        <f>SUM(AC36:AD36)</f>
      </c>
    </row>
    <row r="37">
      <c r="A37" s="6">
        <v>33</v>
      </c>
      <c r="B37" s="7" t="str">
        <v>messiLeo</v>
      </c>
      <c r="C37" s="23">
        <v>0</v>
      </c>
      <c r="D37" s="23">
        <v>0</v>
      </c>
      <c r="E37" s="23">
        <v>1</v>
      </c>
      <c r="F37" s="2">
        <v>1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4">
        <f>SUM(C37:Z37)</f>
      </c>
      <c r="AB37" s="5">
        <v>0</v>
      </c>
      <c r="AC37" s="3">
        <f>MIN(3, SUMPRODUCT((MOD(Streak!C37:Z37,5)=0)*(MOD(Streak!C37:Z37,10)&lt;&gt;0)*(Streak!C37:Z37&gt;0))) * 5</f>
      </c>
      <c r="AD37" s="3">
        <f>MIN(2, SUMPRODUCT((MOD(Streak!C37:Z37,10)=0)*(Streak!C37:Z37&gt;0))) * 20</f>
      </c>
      <c r="AE37" s="8">
        <f>SUM(AC37:AD37)</f>
      </c>
    </row>
    <row r="38">
      <c r="A38" s="6">
        <v>34</v>
      </c>
      <c r="B38" s="7" t="str">
        <v>KepomponG✅</v>
      </c>
      <c r="C38" s="23">
        <v>0</v>
      </c>
      <c r="D38" s="23">
        <v>0</v>
      </c>
      <c r="E38" s="23">
        <v>1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4">
        <f>SUM(C38:Z38)</f>
      </c>
      <c r="AB38" s="5">
        <v>0</v>
      </c>
      <c r="AC38" s="3">
        <f>MIN(3, SUMPRODUCT((MOD(Streak!C38:Z38,5)=0)*(MOD(Streak!C38:Z38,10)&lt;&gt;0)*(Streak!C38:Z38&gt;0))) * 5</f>
      </c>
      <c r="AD38" s="3">
        <f>MIN(2, SUMPRODUCT((MOD(Streak!C38:Z38,10)=0)*(Streak!C38:Z38&gt;0))) * 20</f>
      </c>
      <c r="AE38" s="8">
        <f>SUM(AC38:AD38)</f>
      </c>
    </row>
    <row r="39">
      <c r="A39" s="6">
        <v>35</v>
      </c>
      <c r="B39" s="7" t="str" xml:space="preserve">
        <v>Yuli </v>
      </c>
      <c r="C39" s="23">
        <v>0</v>
      </c>
      <c r="D39" s="23">
        <v>1</v>
      </c>
      <c r="E39" s="23">
        <v>1</v>
      </c>
      <c r="F39" s="2">
        <v>1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4">
        <f>SUM(C39:Z39)</f>
      </c>
      <c r="AB39" s="5">
        <v>0</v>
      </c>
      <c r="AC39" s="3">
        <f>MIN(3, SUMPRODUCT((MOD(Streak!C39:Z39,5)=0)*(MOD(Streak!C39:Z39,10)&lt;&gt;0)*(Streak!C39:Z39&gt;0))) * 5</f>
      </c>
      <c r="AD39" s="3">
        <f>MIN(2, SUMPRODUCT((MOD(Streak!C39:Z39,10)=0)*(Streak!C39:Z39&gt;0))) * 20</f>
      </c>
      <c r="AE39" s="8">
        <f>SUM(AC39:AD39)</f>
      </c>
    </row>
    <row r="40">
      <c r="A40" s="6">
        <v>36</v>
      </c>
      <c r="B40" s="7" t="str">
        <v>GELPHY ✅</v>
      </c>
      <c r="C40" s="23">
        <v>0</v>
      </c>
      <c r="D40" s="23">
        <v>0</v>
      </c>
      <c r="E40" s="23">
        <v>1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4">
        <f>SUM(C40:Z40)</f>
      </c>
      <c r="AB40" s="5">
        <v>0</v>
      </c>
      <c r="AC40" s="3">
        <f>MIN(3, SUMPRODUCT((MOD(Streak!C40:Z40,5)=0)*(MOD(Streak!C40:Z40,10)&lt;&gt;0)*(Streak!C40:Z40&gt;0))) * 5</f>
      </c>
      <c r="AD40" s="3">
        <f>MIN(2, SUMPRODUCT((MOD(Streak!C40:Z40,10)=0)*(Streak!C40:Z40&gt;0))) * 20</f>
      </c>
      <c r="AE40" s="8">
        <f>SUM(AC40:AD40)</f>
      </c>
    </row>
    <row r="41">
      <c r="A41" s="6">
        <v>37</v>
      </c>
      <c r="B41" s="7" t="str">
        <v>Darso</v>
      </c>
      <c r="C41" s="23">
        <v>0</v>
      </c>
      <c r="D41" s="23">
        <v>0</v>
      </c>
      <c r="E41" s="23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4">
        <f>SUM(C41:Z41)</f>
      </c>
      <c r="AB41" s="5">
        <v>0</v>
      </c>
      <c r="AC41" s="3">
        <f>MIN(3, SUMPRODUCT((MOD(Streak!C41:Z41,5)=0)*(MOD(Streak!C41:Z41,10)&lt;&gt;0)*(Streak!C41:Z41&gt;0))) * 5</f>
      </c>
      <c r="AD41" s="3">
        <f>MIN(2, SUMPRODUCT((MOD(Streak!C41:Z41,10)=0)*(Streak!C41:Z41&gt;0))) * 20</f>
      </c>
      <c r="AE41" s="8">
        <f>SUM(AC41:AD41)</f>
      </c>
    </row>
    <row r="42">
      <c r="A42" s="6">
        <v>38</v>
      </c>
      <c r="B42" s="7" t="str">
        <v>Zuna76</v>
      </c>
      <c r="C42" s="23">
        <v>0</v>
      </c>
      <c r="D42" s="23">
        <v>0</v>
      </c>
      <c r="E42" s="23">
        <v>1</v>
      </c>
      <c r="F42" s="2">
        <v>0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4">
        <f>SUM(C42:Z42)</f>
      </c>
      <c r="AB42" s="5">
        <v>0</v>
      </c>
      <c r="AC42" s="3">
        <f>MIN(3, SUMPRODUCT((MOD(Streak!C42:Z42,5)=0)*(MOD(Streak!C42:Z42,10)&lt;&gt;0)*(Streak!C42:Z42&gt;0))) * 5</f>
      </c>
      <c r="AD42" s="3">
        <f>MIN(2, SUMPRODUCT((MOD(Streak!C42:Z42,10)=0)*(Streak!C42:Z42&gt;0))) * 20</f>
      </c>
      <c r="AE42" s="8">
        <f>SUM(AC42:AD42)</f>
      </c>
    </row>
    <row r="43">
      <c r="A43" s="6">
        <v>39</v>
      </c>
      <c r="B43" s="7" t="str">
        <v>peyeri1906</v>
      </c>
      <c r="C43" s="23">
        <v>0</v>
      </c>
      <c r="D43" s="23">
        <v>1</v>
      </c>
      <c r="E43" s="23">
        <v>1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4">
        <f>SUM(C43:Z43)</f>
      </c>
      <c r="AB43" s="5">
        <v>0</v>
      </c>
      <c r="AC43" s="3">
        <f>MIN(3, SUMPRODUCT((MOD(Streak!C43:Z43,5)=0)*(MOD(Streak!C43:Z43,10)&lt;&gt;0)*(Streak!C43:Z43&gt;0))) * 5</f>
      </c>
      <c r="AD43" s="3">
        <f>MIN(2, SUMPRODUCT((MOD(Streak!C43:Z43,10)=0)*(Streak!C43:Z43&gt;0))) * 20</f>
      </c>
      <c r="AE43" s="8">
        <f>SUM(AC43:AD43)</f>
      </c>
    </row>
    <row r="44">
      <c r="A44" s="6">
        <v>40</v>
      </c>
      <c r="B44" s="7" t="str">
        <v>Lani</v>
      </c>
      <c r="C44" s="23">
        <v>0</v>
      </c>
      <c r="D44" s="23">
        <v>0</v>
      </c>
      <c r="E44" s="23">
        <v>1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4">
        <f>SUM(C44:Z44)</f>
      </c>
      <c r="AB44" s="5">
        <v>0</v>
      </c>
      <c r="AC44" s="3">
        <f>MIN(3, SUMPRODUCT((MOD(Streak!C44:Z44,5)=0)*(MOD(Streak!C44:Z44,10)&lt;&gt;0)*(Streak!C44:Z44&gt;0))) * 5</f>
      </c>
      <c r="AD44" s="3">
        <f>MIN(2, SUMPRODUCT((MOD(Streak!C44:Z44,10)=0)*(Streak!C44:Z44&gt;0))) * 20</f>
      </c>
      <c r="AE44" s="8">
        <f>SUM(AC44:AD44)</f>
      </c>
    </row>
    <row r="45">
      <c r="A45" s="6">
        <v>41</v>
      </c>
      <c r="B45" s="7" t="str">
        <v>mytradding</v>
      </c>
      <c r="C45" s="23">
        <v>0</v>
      </c>
      <c r="D45" s="23">
        <v>0</v>
      </c>
      <c r="E45" s="23">
        <v>1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4">
        <f>SUM(C45:Z45)</f>
      </c>
      <c r="AB45" s="5">
        <v>0</v>
      </c>
      <c r="AC45" s="3">
        <f>MIN(3, SUMPRODUCT((MOD(Streak!C45:Z45,5)=0)*(MOD(Streak!C45:Z45,10)&lt;&gt;0)*(Streak!C45:Z45&gt;0))) * 5</f>
      </c>
      <c r="AD45" s="3">
        <f>MIN(2, SUMPRODUCT((MOD(Streak!C45:Z45,10)=0)*(Streak!C45:Z45&gt;0))) * 20</f>
      </c>
      <c r="AE45" s="8">
        <f>SUM(AC45:AD45)</f>
      </c>
    </row>
    <row r="46">
      <c r="A46" s="6">
        <v>42</v>
      </c>
      <c r="B46" s="7" t="str">
        <v>Bejo09</v>
      </c>
      <c r="C46" s="23">
        <v>0</v>
      </c>
      <c r="D46" s="23">
        <v>0</v>
      </c>
      <c r="E46" s="23">
        <v>1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4">
        <f>SUM(C46:Z46)</f>
      </c>
      <c r="AB46" s="5">
        <v>0</v>
      </c>
      <c r="AC46" s="3">
        <f>MIN(3, SUMPRODUCT((MOD(Streak!C46:Z46,5)=0)*(MOD(Streak!C46:Z46,10)&lt;&gt;0)*(Streak!C46:Z46&gt;0))) * 5</f>
      </c>
      <c r="AD46" s="3">
        <f>MIN(2, SUMPRODUCT((MOD(Streak!C46:Z46,10)=0)*(Streak!C46:Z46&gt;0))) * 20</f>
      </c>
      <c r="AE46" s="8">
        <f>SUM(AC46:AD46)</f>
      </c>
    </row>
    <row r="47">
      <c r="A47" s="6">
        <v>43</v>
      </c>
      <c r="B47" s="7" t="str" xml:space="preserve">
        <v>FAAHAS </v>
      </c>
      <c r="C47" s="23">
        <v>0</v>
      </c>
      <c r="D47" s="23">
        <v>1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4">
        <f>SUM(C47:Z47)</f>
      </c>
      <c r="AB47" s="5">
        <v>0</v>
      </c>
      <c r="AC47" s="3">
        <f>MIN(3, SUMPRODUCT((MOD(Streak!C47:Z47,5)=0)*(MOD(Streak!C47:Z47,10)&lt;&gt;0)*(Streak!C47:Z47&gt;0))) * 5</f>
      </c>
      <c r="AD47" s="3">
        <f>MIN(2, SUMPRODUCT((MOD(Streak!C47:Z47,10)=0)*(Streak!C47:Z47&gt;0))) * 20</f>
      </c>
      <c r="AE47" s="8">
        <f>SUM(AC47:AD47)</f>
      </c>
    </row>
    <row r="48">
      <c r="A48" s="6">
        <v>44</v>
      </c>
      <c r="B48" s="7" t="str">
        <v>Mr.Eko</v>
      </c>
      <c r="C48" s="23">
        <v>0</v>
      </c>
      <c r="D48" s="23">
        <v>1</v>
      </c>
      <c r="E48" s="23">
        <v>1</v>
      </c>
      <c r="F48" s="2">
        <v>1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4">
        <f>SUM(C48:Z48)</f>
      </c>
      <c r="AB48" s="5">
        <v>0</v>
      </c>
      <c r="AC48" s="3">
        <f>MIN(3, SUMPRODUCT((MOD(Streak!C48:Z48,5)=0)*(MOD(Streak!C48:Z48,10)&lt;&gt;0)*(Streak!C48:Z48&gt;0))) * 5</f>
      </c>
      <c r="AD48" s="3">
        <f>MIN(2, SUMPRODUCT((MOD(Streak!C48:Z48,10)=0)*(Streak!C48:Z48&gt;0))) * 20</f>
      </c>
      <c r="AE48" s="8">
        <f>SUM(AC48:AD48)</f>
      </c>
    </row>
    <row r="49">
      <c r="A49" s="6">
        <v>45</v>
      </c>
      <c r="B49" s="7" t="str">
        <v>ernaeky788</v>
      </c>
      <c r="C49" s="23">
        <v>0</v>
      </c>
      <c r="D49" s="23">
        <v>1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4">
        <f>SUM(C49:Z49)</f>
      </c>
      <c r="AB49" s="5">
        <v>0</v>
      </c>
      <c r="AC49" s="3">
        <f>MIN(3, SUMPRODUCT((MOD(Streak!C49:Z49,5)=0)*(MOD(Streak!C49:Z49,10)&lt;&gt;0)*(Streak!C49:Z49&gt;0))) * 5</f>
      </c>
      <c r="AD49" s="3">
        <f>MIN(2, SUMPRODUCT((MOD(Streak!C49:Z49,10)=0)*(Streak!C49:Z49&gt;0))) * 20</f>
      </c>
      <c r="AE49" s="8">
        <f>SUM(AC49:AD49)</f>
      </c>
    </row>
    <row r="50">
      <c r="A50" s="6">
        <v>46</v>
      </c>
      <c r="B50" s="7" t="str">
        <v>Cuan XRP</v>
      </c>
      <c r="C50" s="23">
        <v>0</v>
      </c>
      <c r="D50" s="23">
        <v>1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4">
        <f>SUM(C50:Z50)</f>
      </c>
      <c r="AB50" s="5">
        <v>0</v>
      </c>
      <c r="AC50" s="3">
        <f>MIN(3, SUMPRODUCT((MOD(Streak!C50:Z50,5)=0)*(MOD(Streak!C50:Z50,10)&lt;&gt;0)*(Streak!C50:Z50&gt;0))) * 5</f>
      </c>
      <c r="AD50" s="3">
        <f>MIN(2, SUMPRODUCT((MOD(Streak!C50:Z50,10)=0)*(Streak!C50:Z50&gt;0))) * 20</f>
      </c>
      <c r="AE50" s="8">
        <f>SUM(AC50:AD50)</f>
      </c>
    </row>
    <row r="51">
      <c r="A51" s="6">
        <v>47</v>
      </c>
      <c r="B51" s="7" t="str">
        <v>MUHAMMAD NASRULLAH</v>
      </c>
      <c r="C51" s="23">
        <v>0</v>
      </c>
      <c r="D51" s="23">
        <v>1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4">
        <f>SUM(C51:Z51)</f>
      </c>
      <c r="AB51" s="5">
        <v>0</v>
      </c>
      <c r="AC51" s="3">
        <f>MIN(3, SUMPRODUCT((MOD(Streak!C51:Z51,5)=0)*(MOD(Streak!C51:Z51,10)&lt;&gt;0)*(Streak!C51:Z51&gt;0))) * 5</f>
      </c>
      <c r="AD51" s="3">
        <f>MIN(2, SUMPRODUCT((MOD(Streak!C51:Z51,10)=0)*(Streak!C51:Z51&gt;0))) * 20</f>
      </c>
      <c r="AE51" s="8">
        <f>SUM(AC51:AD51)</f>
      </c>
    </row>
    <row customHeight="true" ht="19" r="52">
      <c r="A52" s="6">
        <v>48</v>
      </c>
      <c r="B52" s="7" t="str">
        <v>Tjoei Lan</v>
      </c>
      <c r="C52" s="23">
        <v>0</v>
      </c>
      <c r="D52" s="23">
        <v>1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4">
        <f>SUM(C52:Z52)</f>
      </c>
      <c r="AB52" s="5">
        <v>0</v>
      </c>
      <c r="AC52" s="3">
        <f>MIN(3, SUMPRODUCT((MOD(Streak!C52:Z52,5)=0)*(MOD(Streak!C52:Z52,10)&lt;&gt;0)*(Streak!C52:Z52&gt;0))) * 5</f>
      </c>
      <c r="AD52" s="3">
        <f>MIN(2, SUMPRODUCT((MOD(Streak!C52:Z52,10)=0)*(Streak!C52:Z52&gt;0))) * 20</f>
      </c>
      <c r="AE52" s="8">
        <f>SUM(AC52:AD52)</f>
      </c>
    </row>
    <row customHeight="true" ht="19" r="53">
      <c r="A53" s="6">
        <v>49</v>
      </c>
      <c r="B53" s="7" t="str">
        <v>Syamsultan</v>
      </c>
      <c r="C53" s="23">
        <v>0</v>
      </c>
      <c r="D53" s="23">
        <v>1</v>
      </c>
      <c r="E53" s="2">
        <v>0</v>
      </c>
      <c r="F53" s="2">
        <v>1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4">
        <f>SUM(C53:Z53)</f>
      </c>
      <c r="AB53" s="5">
        <v>0</v>
      </c>
      <c r="AC53" s="3">
        <f>MIN(3, SUMPRODUCT((MOD(Streak!C53:Z53,5)=0)*(MOD(Streak!C53:Z53,10)&lt;&gt;0)*(Streak!C53:Z53&gt;0))) * 5</f>
      </c>
      <c r="AD53" s="3">
        <f>MIN(2, SUMPRODUCT((MOD(Streak!C53:Z53,10)=0)*(Streak!C53:Z53&gt;0))) * 20</f>
      </c>
      <c r="AE53" s="8">
        <f>SUM(AC53:AD53)</f>
      </c>
    </row>
    <row customHeight="true" ht="19" r="54">
      <c r="A54" s="6">
        <v>50</v>
      </c>
      <c r="B54" s="7" t="str">
        <v>INDRAWAN</v>
      </c>
      <c r="C54" s="23">
        <v>0</v>
      </c>
      <c r="D54" s="23">
        <v>1</v>
      </c>
      <c r="E54" s="2">
        <v>0</v>
      </c>
      <c r="F54" s="2">
        <v>1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4">
        <f>SUM(C54:Z54)</f>
      </c>
      <c r="AB54" s="5">
        <v>0</v>
      </c>
      <c r="AC54" s="3">
        <f>MIN(3, SUMPRODUCT((MOD(Streak!C54:Z54,5)=0)*(MOD(Streak!C54:Z54,10)&lt;&gt;0)*(Streak!C54:Z54&gt;0))) * 5</f>
      </c>
      <c r="AD54" s="3">
        <f>MIN(2, SUMPRODUCT((MOD(Streak!C54:Z54,10)=0)*(Streak!C54:Z54&gt;0))) * 20</f>
      </c>
      <c r="AE54" s="8">
        <f>SUM(AC54:AD54)</f>
      </c>
    </row>
    <row customHeight="true" ht="19" r="55">
      <c r="A55" s="6">
        <v>51</v>
      </c>
      <c r="B55" s="7" t="str">
        <v>TIYANG SAE</v>
      </c>
      <c r="C55" s="23">
        <v>0</v>
      </c>
      <c r="D55" s="23">
        <v>0</v>
      </c>
      <c r="E55" s="2">
        <v>0</v>
      </c>
      <c r="F55" s="2">
        <v>1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4">
        <f>SUM(C55:Z55)</f>
      </c>
      <c r="AB55" s="5">
        <v>0</v>
      </c>
      <c r="AC55" s="3">
        <f>MIN(3, SUMPRODUCT((MOD(Streak!C55:Z55,5)=0)*(MOD(Streak!C55:Z55,10)&lt;&gt;0)*(Streak!C55:Z55&gt;0))) * 5</f>
      </c>
      <c r="AD55" s="3">
        <f>MIN(2, SUMPRODUCT((MOD(Streak!C55:Z55,10)=0)*(Streak!C55:Z55&gt;0))) * 20</f>
      </c>
      <c r="AE55" s="8">
        <f>SUM(AC55:AD55)</f>
      </c>
    </row>
    <row customHeight="true" ht="19" r="56">
      <c r="A56" s="6">
        <v>52</v>
      </c>
      <c r="B56" s="7" t="str">
        <v>HadriKSD</v>
      </c>
      <c r="C56" s="23">
        <v>0</v>
      </c>
      <c r="D56" s="23">
        <v>0</v>
      </c>
      <c r="E56" s="2">
        <v>0</v>
      </c>
      <c r="F56" s="2">
        <v>1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4">
        <f>SUM(C56:Z56)</f>
      </c>
      <c r="AB56" s="5">
        <v>0</v>
      </c>
      <c r="AC56" s="3">
        <f>MIN(3, SUMPRODUCT((MOD(Streak!C56:Z56,5)=0)*(MOD(Streak!C56:Z56,10)&lt;&gt;0)*(Streak!C56:Z56&gt;0))) * 5</f>
      </c>
      <c r="AD56" s="3">
        <f>MIN(2, SUMPRODUCT((MOD(Streak!C56:Z56,10)=0)*(Streak!C56:Z56&gt;0))) * 20</f>
      </c>
      <c r="AE56" s="8">
        <f>SUM(AC56:AD56)</f>
      </c>
    </row>
    <row customHeight="true" ht="19" r="57">
      <c r="A57" s="6">
        <v>53</v>
      </c>
      <c r="B57" s="7" t="str">
        <v>buy tongka</v>
      </c>
      <c r="C57" s="23">
        <v>0</v>
      </c>
      <c r="D57" s="23">
        <v>0</v>
      </c>
      <c r="E57" s="2">
        <v>0</v>
      </c>
      <c r="F57" s="2">
        <v>1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4">
        <f>SUM(C57:Z57)</f>
      </c>
      <c r="AB57" s="5">
        <v>0</v>
      </c>
      <c r="AC57" s="3">
        <f>MIN(3, SUMPRODUCT((MOD(Streak!C57:Z57,5)=0)*(MOD(Streak!C57:Z57,10)&lt;&gt;0)*(Streak!C57:Z57&gt;0))) * 5</f>
      </c>
      <c r="AD57" s="3">
        <f>MIN(2, SUMPRODUCT((MOD(Streak!C57:Z57,10)=0)*(Streak!C57:Z57&gt;0))) * 20</f>
      </c>
      <c r="AE57" s="8">
        <f>SUM(AC57:AD57)</f>
      </c>
    </row>
    <row customHeight="true" ht="19" r="58">
      <c r="A58" s="6">
        <v>54</v>
      </c>
      <c r="B58" s="7" t="str">
        <v>Gober</v>
      </c>
      <c r="C58" s="23">
        <v>0</v>
      </c>
      <c r="D58" s="23">
        <v>0</v>
      </c>
      <c r="E58" s="2">
        <v>0</v>
      </c>
      <c r="F58" s="2">
        <v>1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4">
        <f>SUM(C58:Z58)</f>
      </c>
      <c r="AB58" s="5">
        <v>0</v>
      </c>
      <c r="AC58" s="3">
        <f>MIN(3, SUMPRODUCT((MOD(Streak!C58:Z58,5)=0)*(MOD(Streak!C58:Z58,10)&lt;&gt;0)*(Streak!C58:Z58&gt;0))) * 5</f>
      </c>
      <c r="AD58" s="3">
        <f>MIN(2, SUMPRODUCT((MOD(Streak!C58:Z58,10)=0)*(Streak!C58:Z58&gt;0))) * 20</f>
      </c>
      <c r="AE58" s="8">
        <f>SUM(AC58:AD58)</f>
      </c>
    </row>
    <row customHeight="true" ht="19" r="59">
      <c r="A59" s="6">
        <v>55</v>
      </c>
      <c r="B59" s="7" t="str">
        <v>caniago</v>
      </c>
      <c r="C59" s="23">
        <v>0</v>
      </c>
      <c r="D59" s="23">
        <v>0</v>
      </c>
      <c r="E59" s="2">
        <v>0</v>
      </c>
      <c r="F59" s="2">
        <v>1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4">
        <f>SUM(C59:Z59)</f>
      </c>
      <c r="AB59" s="5">
        <v>0</v>
      </c>
      <c r="AC59" s="3">
        <f>MIN(3, SUMPRODUCT((MOD(Streak!C59:Z59,5)=0)*(MOD(Streak!C59:Z59,10)&lt;&gt;0)*(Streak!C59:Z59&gt;0))) * 5</f>
      </c>
      <c r="AD59" s="3">
        <f>MIN(2, SUMPRODUCT((MOD(Streak!C59:Z59,10)=0)*(Streak!C59:Z59&gt;0))) * 20</f>
      </c>
      <c r="AE59" s="8">
        <f>SUM(AC59:AD59)</f>
      </c>
    </row>
    <row customHeight="true" ht="19" r="60">
      <c r="A60" s="6">
        <v>56</v>
      </c>
      <c r="B60" s="7" t="str">
        <v>Ana Mega</v>
      </c>
      <c r="C60" s="23">
        <v>0</v>
      </c>
      <c r="D60" s="23">
        <v>0</v>
      </c>
      <c r="E60" s="2">
        <v>0</v>
      </c>
      <c r="F60" s="2">
        <v>1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4">
        <f>SUM(C60:Z60)</f>
      </c>
      <c r="AB60" s="5">
        <v>0</v>
      </c>
      <c r="AC60" s="3">
        <f>MIN(3, SUMPRODUCT((MOD(Streak!C60:Z60,5)=0)*(MOD(Streak!C60:Z60,10)&lt;&gt;0)*(Streak!C60:Z60&gt;0))) * 5</f>
      </c>
      <c r="AD60" s="3">
        <f>MIN(2, SUMPRODUCT((MOD(Streak!C60:Z60,10)=0)*(Streak!C60:Z60&gt;0))) * 20</f>
      </c>
      <c r="AE60" s="8">
        <f>SUM(AC60:AD60)</f>
      </c>
    </row>
    <row customHeight="true" ht="19" r="61">
      <c r="A61" s="6">
        <v>57</v>
      </c>
      <c r="B61" s="7" t="str">
        <v>anasta</v>
      </c>
      <c r="C61" s="23">
        <v>0</v>
      </c>
      <c r="D61" s="23">
        <v>0</v>
      </c>
      <c r="E61" s="2">
        <v>0</v>
      </c>
      <c r="F61" s="2">
        <v>1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4">
        <f>SUM(C61:Z61)</f>
      </c>
      <c r="AB61" s="5">
        <v>0</v>
      </c>
      <c r="AC61" s="3">
        <f>MIN(3, SUMPRODUCT((MOD(Streak!C61:Z61,5)=0)*(MOD(Streak!C61:Z61,10)&lt;&gt;0)*(Streak!C61:Z61&gt;0))) * 5</f>
      </c>
      <c r="AD61" s="3">
        <f>MIN(2, SUMPRODUCT((MOD(Streak!C61:Z61,10)=0)*(Streak!C61:Z61&gt;0))) * 20</f>
      </c>
      <c r="AE61" s="8">
        <f>SUM(AC61:AD61)</f>
      </c>
    </row>
    <row customHeight="true" ht="19" r="62">
      <c r="A62" s="6">
        <v>58</v>
      </c>
      <c r="B62" s="7" t="str">
        <v>Kurnia</v>
      </c>
      <c r="C62" s="23">
        <v>0</v>
      </c>
      <c r="D62" s="23">
        <v>0</v>
      </c>
      <c r="E62" s="2">
        <v>0</v>
      </c>
      <c r="F62" s="2">
        <v>1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4">
        <f>SUM(C62:Z62)</f>
      </c>
      <c r="AB62" s="5">
        <v>0</v>
      </c>
      <c r="AC62" s="3">
        <f>MIN(3, SUMPRODUCT((MOD(Streak!C63:Z63,5)=0)*(MOD(Streak!C63:Z63,10)&lt;&gt;0)*(Streak!C63:Z63&gt;0))) * 5</f>
      </c>
      <c r="AD62" s="3">
        <f>MIN(2, SUMPRODUCT((MOD(Streak!C63:Z63,10)=0)*(Streak!C63:Z63&gt;0))) * 20</f>
      </c>
      <c r="AE62" s="8">
        <f>SUM(AC62:AD62)</f>
      </c>
    </row>
    <row customHeight="true" ht="19" r="63">
      <c r="A63" s="6">
        <v>59</v>
      </c>
      <c r="B63" s="7" t="str">
        <v>Yura Audi</v>
      </c>
      <c r="C63" s="23">
        <v>0</v>
      </c>
      <c r="D63" s="23">
        <v>0</v>
      </c>
      <c r="E63" s="2">
        <v>0</v>
      </c>
      <c r="F63" s="2">
        <v>1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4">
        <f>SUM(C63:Z63)</f>
      </c>
      <c r="AB63" s="5">
        <v>0</v>
      </c>
      <c r="AC63" s="3">
        <f>MIN(3, SUMPRODUCT((MOD(Streak!C64:Z64,5)=0)*(MOD(Streak!C64:Z64,10)&lt;&gt;0)*(Streak!C64:Z64&gt;0))) * 5</f>
      </c>
      <c r="AD63" s="3">
        <f>MIN(2, SUMPRODUCT((MOD(Streak!C64:Z64,10)=0)*(Streak!C64:Z64&gt;0))) * 20</f>
      </c>
      <c r="AE63" s="8">
        <f>SUM(AC63:AD63)</f>
      </c>
    </row>
    <row customHeight="true" ht="19" r="64">
      <c r="A64" s="6">
        <v>60</v>
      </c>
      <c r="B64" s="7" t="str">
        <v>Liang</v>
      </c>
      <c r="C64" s="23">
        <v>0</v>
      </c>
      <c r="D64" s="23">
        <v>0</v>
      </c>
      <c r="E64" s="2">
        <v>0</v>
      </c>
      <c r="F64" s="2">
        <v>1</v>
      </c>
      <c r="G64" s="2">
        <v>0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4">
        <f>SUM(C64:Z64)</f>
      </c>
      <c r="AB64" s="5"/>
      <c r="AC64" s="3"/>
      <c r="AD64" s="3"/>
      <c r="AE64" s="8"/>
    </row>
    <row customHeight="true" ht="19" r="65">
      <c r="A65" s="6">
        <v>61</v>
      </c>
      <c r="B65" s="7" t="str">
        <v>Abu21</v>
      </c>
      <c r="C65" s="2">
        <v>0</v>
      </c>
      <c r="D65" s="2">
        <v>0</v>
      </c>
      <c r="E65" s="2">
        <v>0</v>
      </c>
      <c r="F65" s="2">
        <v>1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4">
        <f>SUM(C65:Z65)</f>
      </c>
      <c r="AB65" s="5"/>
      <c r="AC65" s="3"/>
      <c r="AD65" s="3"/>
      <c r="AE65" s="8"/>
    </row>
    <row customHeight="true" ht="19" r="66">
      <c r="A66" s="6">
        <v>62</v>
      </c>
      <c r="B66" s="7" t="str">
        <v>Cuan XRP</v>
      </c>
      <c r="C66" s="2">
        <v>0</v>
      </c>
      <c r="D66" s="2">
        <v>0</v>
      </c>
      <c r="E66" s="2">
        <v>0</v>
      </c>
      <c r="F66" s="2">
        <v>1</v>
      </c>
      <c r="G66" s="2">
        <v>0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4">
        <f>SUM(C66:Z66)</f>
      </c>
      <c r="AB66" s="5"/>
      <c r="AC66" s="3"/>
      <c r="AD66" s="3"/>
      <c r="AE66" s="8"/>
    </row>
    <row customHeight="true" ht="19" r="67">
      <c r="A67" s="6">
        <v>63</v>
      </c>
      <c r="B67" s="7" t="str">
        <v>dad_MudR€_$</v>
      </c>
      <c r="C67" s="2">
        <v>0</v>
      </c>
      <c r="D67" s="2">
        <v>0</v>
      </c>
      <c r="E67" s="2">
        <v>0</v>
      </c>
      <c r="F67" s="2">
        <v>1</v>
      </c>
      <c r="G67" s="2">
        <v>0</v>
      </c>
      <c r="H67" s="2">
        <v>0</v>
      </c>
      <c r="I67" s="2">
        <v>0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4">
        <f>SUM(C67:Z67)</f>
      </c>
      <c r="AB67" s="5"/>
      <c r="AC67" s="3"/>
      <c r="AD67" s="3"/>
      <c r="AE67" s="8"/>
    </row>
    <row customHeight="true" ht="19" r="68">
      <c r="A68" s="6">
        <v>64</v>
      </c>
      <c r="B68" s="7" t="str" xml:space="preserve">
        <v>TakeProfit </v>
      </c>
      <c r="C68" s="2">
        <v>0</v>
      </c>
      <c r="D68" s="2">
        <v>0</v>
      </c>
      <c r="E68" s="2">
        <v>0</v>
      </c>
      <c r="F68" s="2">
        <v>1</v>
      </c>
      <c r="G68" s="2">
        <v>0</v>
      </c>
      <c r="H68" s="2">
        <v>0</v>
      </c>
      <c r="I68" s="2">
        <v>0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2">
        <v>0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4">
        <f>SUM(C68:Z68)</f>
      </c>
      <c r="AB68" s="5"/>
      <c r="AC68" s="3"/>
      <c r="AD68" s="3"/>
      <c r="AE68" s="8"/>
    </row>
    <row customHeight="true" ht="19" r="69">
      <c r="A69" s="6">
        <v>65</v>
      </c>
      <c r="B69" s="7"/>
      <c r="C69" s="2">
        <v>0</v>
      </c>
      <c r="D69" s="2">
        <v>0</v>
      </c>
      <c r="E69" s="2">
        <v>0</v>
      </c>
      <c r="F69" s="2">
        <v>0</v>
      </c>
      <c r="G69" s="2">
        <v>0</v>
      </c>
      <c r="H69" s="2">
        <v>0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4">
        <f>SUM(C69:Z69)</f>
      </c>
      <c r="AB69" s="5"/>
      <c r="AC69" s="3"/>
      <c r="AD69" s="3"/>
      <c r="AE69" s="8"/>
    </row>
    <row customHeight="true" ht="19" r="70">
      <c r="A70" s="6">
        <v>66</v>
      </c>
      <c r="B70" s="7"/>
      <c r="C70" s="2">
        <v>0</v>
      </c>
      <c r="D70" s="2">
        <v>0</v>
      </c>
      <c r="E70" s="2">
        <v>0</v>
      </c>
      <c r="F70" s="2">
        <v>0</v>
      </c>
      <c r="G70" s="2">
        <v>0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4">
        <f>SUM(C70:Z70)</f>
      </c>
      <c r="AB70" s="5"/>
      <c r="AC70" s="3"/>
      <c r="AD70" s="3"/>
      <c r="AE70" s="8"/>
    </row>
    <row customHeight="true" ht="19" r="71">
      <c r="A71" s="6">
        <v>67</v>
      </c>
      <c r="B71" s="7"/>
      <c r="C71" s="2">
        <v>0</v>
      </c>
      <c r="D71" s="2">
        <v>0</v>
      </c>
      <c r="E71" s="2">
        <v>0</v>
      </c>
      <c r="F71" s="2">
        <v>0</v>
      </c>
      <c r="G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4">
        <f>SUM(C71:Z71)</f>
      </c>
      <c r="AB71" s="5"/>
      <c r="AC71" s="3"/>
      <c r="AD71" s="3"/>
      <c r="AE71" s="8"/>
    </row>
    <row customHeight="true" ht="19" r="72">
      <c r="A72" s="6">
        <v>68</v>
      </c>
      <c r="B72" s="7"/>
      <c r="C72" s="2">
        <v>0</v>
      </c>
      <c r="D72" s="2">
        <v>0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4">
        <f>SUM(C72:Z72)</f>
      </c>
      <c r="AB72" s="5"/>
      <c r="AC72" s="3"/>
      <c r="AD72" s="3"/>
      <c r="AE72" s="8"/>
    </row>
    <row customHeight="true" ht="19" r="73">
      <c r="A73" s="6">
        <v>69</v>
      </c>
      <c r="B73" s="7"/>
      <c r="C73" s="2">
        <v>0</v>
      </c>
      <c r="D73" s="2">
        <v>0</v>
      </c>
      <c r="E73" s="2">
        <v>0</v>
      </c>
      <c r="F73" s="2">
        <v>0</v>
      </c>
      <c r="G73" s="2">
        <v>0</v>
      </c>
      <c r="H73" s="2">
        <v>0</v>
      </c>
      <c r="I73" s="2">
        <v>0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4">
        <f>SUM(C73:Z73)</f>
      </c>
      <c r="AB73" s="5"/>
      <c r="AC73" s="3"/>
      <c r="AD73" s="3"/>
      <c r="AE73" s="8"/>
    </row>
    <row customHeight="true" ht="19" r="74">
      <c r="A74" s="6">
        <v>70</v>
      </c>
      <c r="B74" s="7"/>
      <c r="C74" s="2">
        <v>0</v>
      </c>
      <c r="D74" s="2">
        <v>0</v>
      </c>
      <c r="E74" s="2">
        <v>0</v>
      </c>
      <c r="F74" s="2">
        <v>0</v>
      </c>
      <c r="G74" s="2">
        <v>0</v>
      </c>
      <c r="H74" s="2">
        <v>0</v>
      </c>
      <c r="I74" s="2">
        <v>0</v>
      </c>
      <c r="J74" s="2">
        <v>0</v>
      </c>
      <c r="K74" s="2">
        <v>0</v>
      </c>
      <c r="L74" s="2">
        <v>0</v>
      </c>
      <c r="M74" s="2">
        <v>0</v>
      </c>
      <c r="N74" s="2">
        <v>0</v>
      </c>
      <c r="O74" s="2">
        <v>0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4">
        <f>SUM(C74:Z74)</f>
      </c>
      <c r="AB74" s="5"/>
      <c r="AC74" s="3"/>
      <c r="AD74" s="3"/>
      <c r="AE74" s="8"/>
    </row>
    <row customHeight="true" ht="19" r="75">
      <c r="A75" s="6">
        <v>71</v>
      </c>
      <c r="B75" s="7"/>
      <c r="C75" s="2">
        <v>0</v>
      </c>
      <c r="D75" s="2">
        <v>0</v>
      </c>
      <c r="E75" s="2">
        <v>0</v>
      </c>
      <c r="F75" s="2">
        <v>0</v>
      </c>
      <c r="G75" s="2">
        <v>0</v>
      </c>
      <c r="H75" s="2">
        <v>0</v>
      </c>
      <c r="I75" s="2">
        <v>0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4">
        <f>SUM(C75:Z75)</f>
      </c>
      <c r="AB75" s="5"/>
      <c r="AC75" s="3"/>
      <c r="AD75" s="3"/>
      <c r="AE75" s="8"/>
    </row>
    <row customHeight="true" ht="19" r="76">
      <c r="A76" s="6">
        <v>72</v>
      </c>
      <c r="B76" s="7"/>
      <c r="C76" s="2">
        <v>0</v>
      </c>
      <c r="D76" s="2">
        <v>0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4">
        <f>SUM(C76:Z76)</f>
      </c>
      <c r="AB76" s="5"/>
      <c r="AC76" s="3"/>
      <c r="AD76" s="3"/>
      <c r="AE76" s="8"/>
    </row>
    <row customHeight="true" ht="19" r="77">
      <c r="A77" s="6">
        <v>73</v>
      </c>
      <c r="B77" s="7"/>
      <c r="C77" s="2">
        <v>0</v>
      </c>
      <c r="D77" s="2">
        <v>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4">
        <f>SUM(C77:Z77)</f>
      </c>
      <c r="AB77" s="5"/>
      <c r="AC77" s="3"/>
      <c r="AD77" s="3"/>
      <c r="AE77" s="8"/>
    </row>
    <row customHeight="true" ht="19" r="78">
      <c r="A78" s="6">
        <v>74</v>
      </c>
      <c r="B78" s="7"/>
      <c r="C78" s="2">
        <v>0</v>
      </c>
      <c r="D78" s="2">
        <v>0</v>
      </c>
      <c r="E78" s="2">
        <v>0</v>
      </c>
      <c r="F78" s="2">
        <v>0</v>
      </c>
      <c r="G78" s="2">
        <v>0</v>
      </c>
      <c r="H78" s="2">
        <v>0</v>
      </c>
      <c r="I78" s="2">
        <v>0</v>
      </c>
      <c r="J78" s="2">
        <v>0</v>
      </c>
      <c r="K78" s="2">
        <v>0</v>
      </c>
      <c r="L78" s="2">
        <v>0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4">
        <f>SUM(C78:Z78)</f>
      </c>
      <c r="AB78" s="5"/>
      <c r="AC78" s="3"/>
      <c r="AD78" s="3"/>
      <c r="AE78" s="8"/>
    </row>
    <row customHeight="true" ht="19" r="79">
      <c r="A79" s="6">
        <v>75</v>
      </c>
      <c r="B79" s="7"/>
      <c r="C79" s="2">
        <v>0</v>
      </c>
      <c r="D79" s="2">
        <v>0</v>
      </c>
      <c r="E79" s="2">
        <v>0</v>
      </c>
      <c r="F79" s="2">
        <v>0</v>
      </c>
      <c r="G79" s="2">
        <v>0</v>
      </c>
      <c r="H79" s="2">
        <v>0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2">
        <v>0</v>
      </c>
      <c r="Y79" s="2">
        <v>0</v>
      </c>
      <c r="Z79" s="2">
        <v>0</v>
      </c>
      <c r="AA79" s="4">
        <f>SUM(C79:Z79)</f>
      </c>
      <c r="AB79" s="5"/>
      <c r="AC79" s="3"/>
      <c r="AD79" s="3"/>
      <c r="AE79" s="8"/>
    </row>
    <row customHeight="true" ht="19" r="80">
      <c r="A80" s="6">
        <v>76</v>
      </c>
      <c r="B80" s="7"/>
      <c r="C80" s="2">
        <v>0</v>
      </c>
      <c r="D80" s="2">
        <v>0</v>
      </c>
      <c r="E80" s="2">
        <v>0</v>
      </c>
      <c r="F80" s="2">
        <v>0</v>
      </c>
      <c r="G80" s="2">
        <v>0</v>
      </c>
      <c r="H80" s="2">
        <v>0</v>
      </c>
      <c r="I80" s="2">
        <v>0</v>
      </c>
      <c r="J80" s="2">
        <v>0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0</v>
      </c>
      <c r="AA80" s="4">
        <f>SUM(C80:Z80)</f>
      </c>
      <c r="AB80" s="5"/>
      <c r="AC80" s="3"/>
      <c r="AD80" s="3"/>
      <c r="AE80" s="8"/>
    </row>
    <row customHeight="true" ht="19" r="81">
      <c r="A81" s="6">
        <v>77</v>
      </c>
      <c r="B81" s="7"/>
      <c r="C81" s="2">
        <v>0</v>
      </c>
      <c r="D81" s="2">
        <v>0</v>
      </c>
      <c r="E81" s="2">
        <v>0</v>
      </c>
      <c r="F81" s="2">
        <v>0</v>
      </c>
      <c r="G81" s="2">
        <v>0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2">
        <v>0</v>
      </c>
      <c r="Y81" s="2">
        <v>0</v>
      </c>
      <c r="Z81" s="2">
        <v>0</v>
      </c>
      <c r="AA81" s="4">
        <f>SUM(C81:Z81)</f>
      </c>
      <c r="AB81" s="5"/>
      <c r="AC81" s="3"/>
      <c r="AD81" s="3"/>
      <c r="AE81" s="8"/>
    </row>
    <row customHeight="true" ht="19" r="82">
      <c r="A82" s="6">
        <v>78</v>
      </c>
      <c r="B82" s="7"/>
      <c r="C82" s="2">
        <v>0</v>
      </c>
      <c r="D82" s="2">
        <v>0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4">
        <f>SUM(C82:Z82)</f>
      </c>
      <c r="AB82" s="5"/>
      <c r="AC82" s="3"/>
      <c r="AD82" s="3"/>
      <c r="AE82" s="8"/>
    </row>
    <row customHeight="true" ht="19" r="83">
      <c r="A83" s="6">
        <v>79</v>
      </c>
      <c r="B83" s="7"/>
      <c r="C83" s="2">
        <v>0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0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4">
        <f>SUM(C83:Z83)</f>
      </c>
      <c r="AB83" s="5"/>
      <c r="AC83" s="3"/>
      <c r="AD83" s="3"/>
      <c r="AE83" s="8"/>
    </row>
    <row customHeight="true" ht="19" r="84">
      <c r="A84" s="6">
        <v>80</v>
      </c>
      <c r="B84" s="7"/>
      <c r="C84" s="2">
        <v>0</v>
      </c>
      <c r="D84" s="2">
        <v>0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4">
        <f>SUM(C84:Z84)</f>
      </c>
      <c r="AB84" s="5"/>
      <c r="AC84" s="3"/>
      <c r="AD84" s="3"/>
      <c r="AE84" s="8"/>
    </row>
    <row customHeight="true" ht="19" r="85">
      <c r="A85" s="6">
        <v>81</v>
      </c>
      <c r="B85" s="7"/>
      <c r="C85" s="2">
        <v>0</v>
      </c>
      <c r="D85" s="2">
        <v>0</v>
      </c>
      <c r="E85" s="2">
        <v>0</v>
      </c>
      <c r="F85" s="2">
        <v>0</v>
      </c>
      <c r="G85" s="2">
        <v>0</v>
      </c>
      <c r="H85" s="2">
        <v>0</v>
      </c>
      <c r="I85" s="2">
        <v>0</v>
      </c>
      <c r="J85" s="2">
        <v>0</v>
      </c>
      <c r="K85" s="2">
        <v>0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2">
        <v>0</v>
      </c>
      <c r="Y85" s="2">
        <v>0</v>
      </c>
      <c r="Z85" s="2">
        <v>0</v>
      </c>
      <c r="AA85" s="4">
        <f>SUM(C85:Z85)</f>
      </c>
      <c r="AB85" s="5"/>
      <c r="AC85" s="3"/>
      <c r="AD85" s="3"/>
      <c r="AE85" s="8"/>
    </row>
    <row customHeight="true" ht="19" r="86">
      <c r="A86" s="6">
        <v>82</v>
      </c>
      <c r="B86" s="7"/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4">
        <f>SUM(C86:Z86)</f>
      </c>
      <c r="AB86" s="5"/>
      <c r="AC86" s="3"/>
      <c r="AD86" s="3"/>
      <c r="AE86" s="8"/>
    </row>
    <row customHeight="true" ht="19" r="87">
      <c r="A87" s="6">
        <v>83</v>
      </c>
      <c r="B87" s="7"/>
      <c r="C87" s="2">
        <v>0</v>
      </c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2">
        <v>0</v>
      </c>
      <c r="J87" s="2">
        <v>0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2">
        <v>0</v>
      </c>
      <c r="Y87" s="2">
        <v>0</v>
      </c>
      <c r="Z87" s="2">
        <v>0</v>
      </c>
      <c r="AA87" s="4">
        <f>SUM(C87:Z87)</f>
      </c>
      <c r="AB87" s="5"/>
      <c r="AC87" s="3"/>
      <c r="AD87" s="3"/>
      <c r="AE87" s="8"/>
    </row>
    <row customHeight="true" ht="19" r="88">
      <c r="A88" s="6">
        <v>84</v>
      </c>
      <c r="B88" s="7"/>
      <c r="C88" s="2">
        <v>0</v>
      </c>
      <c r="D88" s="2">
        <v>0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4">
        <f>SUM(C88:Z88)</f>
      </c>
      <c r="AB88" s="5"/>
      <c r="AC88" s="3"/>
      <c r="AD88" s="3"/>
      <c r="AE88" s="8"/>
    </row>
    <row customHeight="true" ht="19" r="89">
      <c r="A89" s="6">
        <v>85</v>
      </c>
      <c r="B89" s="7"/>
      <c r="C89" s="2">
        <v>0</v>
      </c>
      <c r="D89" s="2">
        <v>0</v>
      </c>
      <c r="E89" s="2">
        <v>0</v>
      </c>
      <c r="F89" s="2">
        <v>0</v>
      </c>
      <c r="G89" s="2">
        <v>0</v>
      </c>
      <c r="H89" s="2">
        <v>0</v>
      </c>
      <c r="I89" s="2">
        <v>0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4">
        <f>SUM(C89:Z89)</f>
      </c>
      <c r="AB89" s="5"/>
      <c r="AC89" s="3"/>
      <c r="AD89" s="3"/>
      <c r="AE89" s="8"/>
    </row>
    <row customHeight="true" ht="19" r="90">
      <c r="A90" s="6">
        <v>86</v>
      </c>
      <c r="B90" s="7"/>
      <c r="C90" s="2">
        <v>0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J90" s="2">
        <v>0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4">
        <f>SUM(C90:Z90)</f>
      </c>
      <c r="AB90" s="5"/>
      <c r="AC90" s="3"/>
      <c r="AD90" s="3"/>
      <c r="AE90" s="8"/>
    </row>
    <row customHeight="true" ht="19" r="91">
      <c r="A91" s="6">
        <v>87</v>
      </c>
      <c r="B91" s="7"/>
      <c r="C91" s="2">
        <v>0</v>
      </c>
      <c r="D91" s="2">
        <v>0</v>
      </c>
      <c r="E91" s="2">
        <v>0</v>
      </c>
      <c r="F91" s="2">
        <v>0</v>
      </c>
      <c r="G91" s="2">
        <v>0</v>
      </c>
      <c r="H91" s="2">
        <v>0</v>
      </c>
      <c r="I91" s="2">
        <v>0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4">
        <f>SUM(C91:Z91)</f>
      </c>
      <c r="AB91" s="5"/>
      <c r="AC91" s="3"/>
      <c r="AD91" s="3"/>
      <c r="AE91" s="8"/>
    </row>
    <row customHeight="true" ht="19" r="92">
      <c r="A92" s="6">
        <v>88</v>
      </c>
      <c r="B92" s="7"/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4">
        <f>SUM(C92:Z92)</f>
      </c>
      <c r="AB92" s="5"/>
      <c r="AC92" s="3"/>
      <c r="AD92" s="3"/>
      <c r="AE92" s="8"/>
    </row>
    <row customHeight="true" ht="19" r="93">
      <c r="A93" s="6">
        <v>89</v>
      </c>
      <c r="B93" s="7"/>
      <c r="C93" s="2">
        <v>0</v>
      </c>
      <c r="D93" s="2">
        <v>0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4">
        <f>SUM(C93:Z93)</f>
      </c>
      <c r="AB93" s="5"/>
      <c r="AC93" s="3"/>
      <c r="AD93" s="3"/>
      <c r="AE93" s="8"/>
    </row>
    <row customHeight="true" ht="19" r="94">
      <c r="A94" s="6">
        <v>90</v>
      </c>
      <c r="B94" s="7"/>
      <c r="C94" s="2">
        <v>0</v>
      </c>
      <c r="D94" s="2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4">
        <f>SUM(C94:Z94)</f>
      </c>
      <c r="AB94" s="5"/>
      <c r="AC94" s="3"/>
      <c r="AD94" s="3"/>
      <c r="AE94" s="8"/>
    </row>
    <row customHeight="true" ht="19" r="95">
      <c r="A95" s="6">
        <v>91</v>
      </c>
      <c r="B95" s="7"/>
      <c r="C95" s="2">
        <v>0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4">
        <f>SUM(C95:Z95)</f>
      </c>
      <c r="AB95" s="5"/>
      <c r="AC95" s="3"/>
      <c r="AD95" s="3"/>
      <c r="AE95" s="8"/>
    </row>
    <row customHeight="true" ht="19" r="96">
      <c r="A96" s="6">
        <v>92</v>
      </c>
      <c r="B96" s="7"/>
      <c r="C96" s="2">
        <v>0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4">
        <f>SUM(C96:Z96)</f>
      </c>
      <c r="AB96" s="5"/>
      <c r="AC96" s="3"/>
      <c r="AD96" s="3"/>
      <c r="AE96" s="8"/>
    </row>
    <row customHeight="true" ht="19" r="97">
      <c r="A97" s="6">
        <v>93</v>
      </c>
      <c r="B97" s="7"/>
      <c r="C97" s="2">
        <v>0</v>
      </c>
      <c r="D97" s="2">
        <v>0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0</v>
      </c>
      <c r="K97" s="2">
        <v>0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4">
        <f>SUM(C97:Z97)</f>
      </c>
      <c r="AB97" s="5"/>
      <c r="AC97" s="3"/>
      <c r="AD97" s="3"/>
      <c r="AE97" s="8"/>
    </row>
    <row customHeight="true" ht="19" r="98">
      <c r="A98" s="6">
        <v>94</v>
      </c>
      <c r="B98" s="7"/>
      <c r="C98" s="2">
        <v>0</v>
      </c>
      <c r="D98" s="2">
        <v>0</v>
      </c>
      <c r="E98" s="2">
        <v>0</v>
      </c>
      <c r="F98" s="2">
        <v>0</v>
      </c>
      <c r="G98" s="2">
        <v>0</v>
      </c>
      <c r="H98" s="2">
        <v>0</v>
      </c>
      <c r="I98" s="2">
        <v>0</v>
      </c>
      <c r="J98" s="2">
        <v>0</v>
      </c>
      <c r="K98" s="2">
        <v>0</v>
      </c>
      <c r="L98" s="2">
        <v>0</v>
      </c>
      <c r="M98" s="2">
        <v>0</v>
      </c>
      <c r="N98" s="2">
        <v>0</v>
      </c>
      <c r="O98" s="2">
        <v>0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4">
        <f>SUM(C98:Z98)</f>
      </c>
      <c r="AB98" s="5"/>
      <c r="AC98" s="3"/>
      <c r="AD98" s="3"/>
      <c r="AE98" s="8"/>
    </row>
    <row customHeight="true" ht="19" r="99">
      <c r="A99" s="6">
        <v>95</v>
      </c>
      <c r="B99" s="7"/>
      <c r="C99" s="2">
        <v>0</v>
      </c>
      <c r="D99" s="2">
        <v>0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0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4">
        <f>SUM(C99:Z99)</f>
      </c>
      <c r="AB99" s="5"/>
      <c r="AC99" s="3"/>
      <c r="AD99" s="3"/>
      <c r="AE99" s="8"/>
    </row>
    <row customHeight="true" ht="19" r="100">
      <c r="A100" s="6">
        <v>96</v>
      </c>
      <c r="B100" s="7"/>
      <c r="C100" s="2">
        <v>0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>
        <v>0</v>
      </c>
      <c r="K100" s="2">
        <v>0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4">
        <f>SUM(C100:Z100)</f>
      </c>
      <c r="AB100" s="5"/>
      <c r="AC100" s="3"/>
      <c r="AD100" s="3"/>
      <c r="AE100" s="8"/>
    </row>
    <row customHeight="true" ht="19" r="101">
      <c r="A101" s="6">
        <v>97</v>
      </c>
      <c r="B101" s="7"/>
      <c r="C101" s="2">
        <v>0</v>
      </c>
      <c r="D101" s="2">
        <v>0</v>
      </c>
      <c r="E101" s="2">
        <v>0</v>
      </c>
      <c r="F101" s="2">
        <v>0</v>
      </c>
      <c r="G101" s="2">
        <v>0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  <c r="N101" s="2">
        <v>0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4">
        <f>SUM(C101:Z101)</f>
      </c>
      <c r="AB101" s="5"/>
      <c r="AC101" s="3"/>
      <c r="AD101" s="3"/>
      <c r="AE101" s="8"/>
    </row>
    <row customHeight="true" ht="19" r="102">
      <c r="A102" s="6">
        <v>98</v>
      </c>
      <c r="B102" s="7"/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0</v>
      </c>
      <c r="K102" s="2">
        <v>0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4">
        <f>SUM(C102:Z102)</f>
      </c>
      <c r="AB102" s="5"/>
      <c r="AC102" s="3"/>
      <c r="AD102" s="3"/>
      <c r="AE102" s="8"/>
    </row>
    <row customHeight="true" ht="19" r="103">
      <c r="A103" s="6">
        <v>99</v>
      </c>
      <c r="B103" s="7"/>
      <c r="C103" s="2">
        <v>0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4">
        <f>SUM(C103:Z103)</f>
      </c>
      <c r="AB103" s="5"/>
      <c r="AC103" s="3"/>
      <c r="AD103" s="3"/>
      <c r="AE103" s="8"/>
    </row>
    <row customHeight="true" ht="19" r="104">
      <c r="A104" s="6">
        <v>100</v>
      </c>
      <c r="B104" s="7"/>
      <c r="C104" s="2">
        <v>0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0</v>
      </c>
      <c r="M104" s="2">
        <v>0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4">
        <f>SUM(C104:Z104)</f>
      </c>
      <c r="AB104" s="5"/>
      <c r="AC104" s="3"/>
      <c r="AD104" s="3"/>
      <c r="AE104" s="8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  <row r="102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</row>
    <row r="1027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</row>
    <row r="1028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</row>
    <row r="1029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</row>
    <row r="1030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</row>
    <row r="103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</row>
    <row r="103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</row>
    <row r="103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</row>
    <row r="1034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</row>
    <row r="103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</row>
    <row r="103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</row>
    <row r="1037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</row>
    <row r="1038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</row>
    <row r="1039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</row>
    <row r="1040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</row>
    <row r="104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</row>
    <row r="104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</row>
    <row r="104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</row>
    <row r="1044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</row>
    <row r="104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</row>
    <row r="104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</row>
    <row r="1047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</row>
    <row r="1048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</row>
    <row r="1049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</row>
    <row r="1050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</row>
    <row r="105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</row>
    <row r="105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</row>
    <row r="105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</row>
    <row r="1054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</row>
    <row r="105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</row>
    <row r="105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</row>
    <row r="1057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</row>
    <row r="1058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</row>
    <row r="1059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</row>
    <row r="1060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</row>
    <row r="1061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</row>
    <row r="106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</row>
    <row r="106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</row>
    <row r="1064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</row>
    <row r="106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1" t="str">
        <v>Deposit = 1 Tiket/hari | Streak 5 Hari = +5 Bonus | Streak 10 Hari = +20 Bonus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5" t="str">
        <v>MEMBER</v>
      </c>
      <c r="B2" s="15"/>
      <c r="C2" s="11">
        <v>46111</v>
      </c>
      <c r="D2" s="11">
        <v>46112</v>
      </c>
      <c r="E2" s="11">
        <v>46113</v>
      </c>
      <c r="F2" s="11">
        <v>46114</v>
      </c>
      <c r="G2" s="11">
        <v>46115</v>
      </c>
      <c r="H2" s="11">
        <v>46118</v>
      </c>
      <c r="I2" s="11">
        <v>46119</v>
      </c>
      <c r="J2" s="11">
        <v>46120</v>
      </c>
      <c r="K2" s="11">
        <v>46121</v>
      </c>
      <c r="L2" s="11">
        <v>46122</v>
      </c>
      <c r="M2" s="11">
        <v>46125</v>
      </c>
      <c r="N2" s="11">
        <v>46126</v>
      </c>
      <c r="O2" s="11">
        <v>46127</v>
      </c>
      <c r="P2" s="11">
        <v>46128</v>
      </c>
      <c r="Q2" s="11">
        <v>46129</v>
      </c>
      <c r="R2" s="11">
        <v>46132</v>
      </c>
      <c r="S2" s="11">
        <v>46133</v>
      </c>
      <c r="T2" s="11">
        <v>46134</v>
      </c>
      <c r="U2" s="11">
        <v>46135</v>
      </c>
      <c r="V2" s="11">
        <v>46136</v>
      </c>
      <c r="W2" s="11">
        <v>46139</v>
      </c>
      <c r="X2" s="11">
        <v>46140</v>
      </c>
      <c r="Y2" s="11">
        <v>46141</v>
      </c>
      <c r="Z2" s="11">
        <v>46142</v>
      </c>
      <c r="AA2" s="13" t="str">
        <v>Total
Tiket</v>
      </c>
      <c r="AB2" s="14" t="str">
        <v>Streak
(manual)</v>
      </c>
      <c r="AC2" s="12" t="s">
        <v>3</v>
      </c>
      <c r="AD2" s="12" t="s">
        <v>1</v>
      </c>
      <c r="AE2" s="16" t="s">
        <v>2</v>
      </c>
      <c r="AF2" s="33" t="s">
        <v>4</v>
      </c>
    </row>
    <row r="3">
      <c r="A3" s="15"/>
      <c r="B3" s="15"/>
      <c r="C3" s="20" t="str">
        <v>Sen</v>
      </c>
      <c r="D3" s="20" t="str">
        <v>Sel</v>
      </c>
      <c r="E3" s="20" t="str">
        <v>Rab</v>
      </c>
      <c r="F3" s="20" t="str">
        <v>Kam</v>
      </c>
      <c r="G3" s="20" t="str">
        <v>Jum</v>
      </c>
      <c r="H3" s="20" t="str">
        <v>Sen</v>
      </c>
      <c r="I3" s="20" t="str">
        <v>Sel</v>
      </c>
      <c r="J3" s="20" t="str">
        <v>Rab</v>
      </c>
      <c r="K3" s="20" t="str">
        <v>Kam</v>
      </c>
      <c r="L3" s="20" t="str">
        <v>Jum</v>
      </c>
      <c r="M3" s="20" t="str">
        <v>Sen</v>
      </c>
      <c r="N3" s="20" t="str">
        <v>Sel</v>
      </c>
      <c r="O3" s="20" t="str">
        <v>Rab</v>
      </c>
      <c r="P3" s="20" t="str">
        <v>Kam</v>
      </c>
      <c r="Q3" s="20" t="str">
        <v>Jum</v>
      </c>
      <c r="R3" s="20" t="str">
        <v>Sen</v>
      </c>
      <c r="S3" s="20" t="str">
        <v>Sel</v>
      </c>
      <c r="T3" s="20" t="str">
        <v>Rab</v>
      </c>
      <c r="U3" s="20" t="str">
        <v>Kam</v>
      </c>
      <c r="V3" s="20" t="str">
        <v>Jum</v>
      </c>
      <c r="W3" s="20" t="str">
        <v>Sen</v>
      </c>
      <c r="X3" s="20" t="str">
        <v>Sel</v>
      </c>
      <c r="Y3" s="20" t="str">
        <v>Rab</v>
      </c>
      <c r="Z3" s="20" t="str">
        <v>Kam</v>
      </c>
      <c r="AA3" s="13"/>
      <c r="AB3" s="14"/>
      <c r="AC3" s="12"/>
      <c r="AD3" s="12"/>
      <c r="AE3" s="16"/>
      <c r="AF3" s="33"/>
    </row>
    <row r="4">
      <c r="A4" s="18" t="str">
        <v>
</v>
      </c>
      <c r="B4" s="19" t="str">
        <v>TOTAL</v>
      </c>
      <c r="C4" s="37">
        <f>SUM(C5:C64)</f>
      </c>
      <c r="D4" s="17">
        <f>SUM(D5:D64)</f>
      </c>
      <c r="E4" s="17">
        <f>SUM(E5:E64)</f>
      </c>
      <c r="F4" s="17">
        <f>SUM(F5:F64)</f>
      </c>
      <c r="G4" s="17">
        <f>SUM(G5:G64)</f>
      </c>
      <c r="H4" s="17">
        <f>SUM(H5:H64)</f>
      </c>
      <c r="I4" s="17">
        <f>SUM(I5:I64)</f>
      </c>
      <c r="J4" s="17">
        <f>SUM(J5:J64)</f>
      </c>
      <c r="K4" s="17">
        <f>SUM(K5:K64)</f>
      </c>
      <c r="L4" s="17">
        <f>SUM(L5:L64)</f>
      </c>
      <c r="M4" s="17">
        <f>SUM(M5:M64)</f>
      </c>
      <c r="N4" s="17">
        <f>SUM(N5:N64)</f>
      </c>
      <c r="O4" s="17">
        <f>SUM(O5:O64)</f>
      </c>
      <c r="P4" s="17">
        <f>SUM(P5:P64)</f>
      </c>
      <c r="Q4" s="17">
        <f>SUM(Q5:Q64)</f>
      </c>
      <c r="R4" s="17">
        <f>SUM(R5:R64)</f>
      </c>
      <c r="S4" s="17">
        <f>SUM(S5:S64)</f>
      </c>
      <c r="T4" s="17">
        <f>SUM(T5:T64)</f>
      </c>
      <c r="U4" s="17">
        <f>SUM(U5:U64)</f>
      </c>
      <c r="V4" s="17">
        <f>SUM(V5:V64)</f>
      </c>
      <c r="W4" s="17">
        <f>SUM(W5:W64)</f>
      </c>
      <c r="X4" s="17">
        <f>SUM(X5:X64)</f>
      </c>
      <c r="Y4" s="17">
        <f>SUM(Y5:Y64)</f>
      </c>
      <c r="Z4" s="17">
        <f>SUM(Z5:Z64)</f>
      </c>
      <c r="AA4" s="17">
        <f>SUM(AA5:AA64)</f>
      </c>
      <c r="AB4" s="34" t="str">
        <v>
</v>
      </c>
      <c r="AC4" s="34" t="str">
        <v>
</v>
      </c>
      <c r="AD4" s="34" t="str">
        <v>
</v>
      </c>
      <c r="AE4" s="35">
        <v>0</v>
      </c>
      <c r="AF4" s="36"/>
    </row>
    <row r="5">
      <c r="A5" s="9">
        <v>1</v>
      </c>
      <c r="B5" s="28" t="str">
        <v>Radensaleh</v>
      </c>
      <c r="C5" s="29">
        <f>IF('List Ticket'!C5=1, 1, 0)</f>
      </c>
      <c r="D5" s="31">
        <f>IF('List Ticket'!D5=1, C5+1, 0)</f>
      </c>
      <c r="E5" s="24">
        <f>IF('List Ticket'!E5=1, D5+1, 0)</f>
      </c>
      <c r="F5" s="24">
        <f>IF('List Ticket'!F5=1, E5+1, 0)</f>
      </c>
      <c r="G5" s="24">
        <f>IF('List Ticket'!G5=1, F5+1, 0)</f>
      </c>
      <c r="H5" s="24">
        <f>IF('List Ticket'!H5=1, G5+1, 0)</f>
      </c>
      <c r="I5" s="24">
        <f>IF('List Ticket'!I5=1, H5+1, 0)</f>
      </c>
      <c r="J5" s="24">
        <f>IF('List Ticket'!J5=1, I5+1, 0)</f>
      </c>
      <c r="K5" s="24">
        <f>IF('List Ticket'!K5=1, J5+1, 0)</f>
      </c>
      <c r="L5" s="24">
        <f>IF('List Ticket'!L5=1, K5+1, 0)</f>
      </c>
      <c r="M5" s="24">
        <f>IF('List Ticket'!M5=1, L5+1, 0)</f>
      </c>
      <c r="N5" s="24">
        <f>IF('List Ticket'!N5=1, M5+1, 0)</f>
      </c>
      <c r="O5" s="24">
        <f>IF('List Ticket'!O5=1, N5+1, 0)</f>
      </c>
      <c r="P5" s="24">
        <f>IF('List Ticket'!P5=1, O5+1, 0)</f>
      </c>
      <c r="Q5" s="24">
        <f>IF('List Ticket'!Q5=1, P5+1, 0)</f>
      </c>
      <c r="R5" s="24">
        <f>IF('List Ticket'!R5=1, Q5+1, 0)</f>
      </c>
      <c r="S5" s="24">
        <f>IF('List Ticket'!S5=1, R5+1, 0)</f>
      </c>
      <c r="T5" s="24">
        <f>IF('List Ticket'!T5=1, S5+1, 0)</f>
      </c>
      <c r="U5" s="24">
        <f>IF('List Ticket'!U5=1, T5+1, 0)</f>
      </c>
      <c r="V5" s="24">
        <f>IF('List Ticket'!V5=1, U5+1, 0)</f>
      </c>
      <c r="W5" s="24">
        <f>IF('List Ticket'!W5=1, V5+1, 0)</f>
      </c>
      <c r="X5" s="24">
        <f>IF('List Ticket'!X5=1, W5+1, 0)</f>
      </c>
      <c r="Y5" s="24">
        <f>IF('List Ticket'!Y5=1, X5+1, 0)</f>
      </c>
      <c r="Z5" s="24">
        <f>IF('List Ticket'!Z5=1, Y5+1, 0)</f>
      </c>
      <c r="AA5" s="27">
        <f>SUM(C5:Z5)</f>
      </c>
      <c r="AB5" s="30">
        <v>1</v>
      </c>
      <c r="AC5" s="32">
        <v>0</v>
      </c>
      <c r="AD5" s="32">
        <v>0</v>
      </c>
      <c r="AE5" s="25">
        <v>0</v>
      </c>
      <c r="AF5" s="26">
        <v>1</v>
      </c>
    </row>
    <row r="6">
      <c r="A6" s="9">
        <v>2</v>
      </c>
      <c r="B6" s="28" t="str">
        <v>Chepot</v>
      </c>
      <c r="C6" s="29">
        <f>IF('List Ticket'!C6=1, 1, 0)</f>
      </c>
      <c r="D6" s="31">
        <f>IF('List Ticket'!D6=1, C6+1, 0)</f>
      </c>
      <c r="E6" s="24">
        <f>IF('List Ticket'!E6=1, D6+1, 0)</f>
      </c>
      <c r="F6" s="24">
        <f>IF('List Ticket'!F6=1, E6+1, 0)</f>
      </c>
      <c r="G6" s="24">
        <f>IF('List Ticket'!G6=1, F6+1, 0)</f>
      </c>
      <c r="H6" s="24">
        <f>IF('List Ticket'!H6=1, G6+1, 0)</f>
      </c>
      <c r="I6" s="24">
        <f>IF('List Ticket'!I6=1, H6+1, 0)</f>
      </c>
      <c r="J6" s="24">
        <f>IF('List Ticket'!J6=1, I6+1, 0)</f>
      </c>
      <c r="K6" s="24">
        <f>IF('List Ticket'!K6=1, J6+1, 0)</f>
      </c>
      <c r="L6" s="24">
        <f>IF('List Ticket'!L6=1, K6+1, 0)</f>
      </c>
      <c r="M6" s="24">
        <f>IF('List Ticket'!M6=1, L6+1, 0)</f>
      </c>
      <c r="N6" s="24">
        <f>IF('List Ticket'!N6=1, M6+1, 0)</f>
      </c>
      <c r="O6" s="24">
        <f>IF('List Ticket'!O6=1, N6+1, 0)</f>
      </c>
      <c r="P6" s="24">
        <f>IF('List Ticket'!P6=1, O6+1, 0)</f>
      </c>
      <c r="Q6" s="24">
        <f>IF('List Ticket'!Q6=1, P6+1, 0)</f>
      </c>
      <c r="R6" s="24">
        <f>IF('List Ticket'!R6=1, Q6+1, 0)</f>
      </c>
      <c r="S6" s="24">
        <f>IF('List Ticket'!S6=1, R6+1, 0)</f>
      </c>
      <c r="T6" s="24">
        <f>IF('List Ticket'!T6=1, S6+1, 0)</f>
      </c>
      <c r="U6" s="24">
        <f>IF('List Ticket'!U6=1, T6+1, 0)</f>
      </c>
      <c r="V6" s="24">
        <f>IF('List Ticket'!V6=1, U6+1, 0)</f>
      </c>
      <c r="W6" s="24">
        <f>IF('List Ticket'!W6=1, V6+1, 0)</f>
      </c>
      <c r="X6" s="24">
        <f>IF('List Ticket'!X6=1, W6+1, 0)</f>
      </c>
      <c r="Y6" s="24">
        <f>IF('List Ticket'!Y6=1, X6+1, 0)</f>
      </c>
      <c r="Z6" s="24">
        <f>IF('List Ticket'!Z6=1, Y6+1, 0)</f>
      </c>
      <c r="AA6" s="27">
        <f>SUM(C6:Z6)</f>
      </c>
      <c r="AB6" s="30">
        <v>1</v>
      </c>
      <c r="AC6" s="32">
        <v>0</v>
      </c>
      <c r="AD6" s="32">
        <v>0</v>
      </c>
      <c r="AE6" s="25">
        <v>0</v>
      </c>
      <c r="AF6" s="26">
        <v>1</v>
      </c>
    </row>
    <row r="7">
      <c r="A7" s="9">
        <v>3</v>
      </c>
      <c r="B7" s="28" t="str">
        <v>irvin_1548314</v>
      </c>
      <c r="C7" s="29">
        <f>IF('List Ticket'!C7=1, 1, 0)</f>
      </c>
      <c r="D7" s="31">
        <f>IF('List Ticket'!D7=1, C7+1, 0)</f>
      </c>
      <c r="E7" s="24">
        <f>IF('List Ticket'!E7=1, D7+1, 0)</f>
      </c>
      <c r="F7" s="24">
        <f>IF('List Ticket'!F7=1, E7+1, 0)</f>
      </c>
      <c r="G7" s="24">
        <f>IF('List Ticket'!G7=1, F7+1, 0)</f>
      </c>
      <c r="H7" s="24">
        <f>IF('List Ticket'!H7=1, G7+1, 0)</f>
      </c>
      <c r="I7" s="24">
        <f>IF('List Ticket'!I7=1, H7+1, 0)</f>
      </c>
      <c r="J7" s="24">
        <f>IF('List Ticket'!J7=1, I7+1, 0)</f>
      </c>
      <c r="K7" s="24">
        <f>IF('List Ticket'!K7=1, J7+1, 0)</f>
      </c>
      <c r="L7" s="24">
        <f>IF('List Ticket'!L7=1, K7+1, 0)</f>
      </c>
      <c r="M7" s="24">
        <f>IF('List Ticket'!M7=1, L7+1, 0)</f>
      </c>
      <c r="N7" s="24">
        <f>IF('List Ticket'!N7=1, M7+1, 0)</f>
      </c>
      <c r="O7" s="24">
        <f>IF('List Ticket'!O7=1, N7+1, 0)</f>
      </c>
      <c r="P7" s="24">
        <f>IF('List Ticket'!P7=1, O7+1, 0)</f>
      </c>
      <c r="Q7" s="24">
        <f>IF('List Ticket'!Q7=1, P7+1, 0)</f>
      </c>
      <c r="R7" s="24">
        <f>IF('List Ticket'!R7=1, Q7+1, 0)</f>
      </c>
      <c r="S7" s="24">
        <f>IF('List Ticket'!S7=1, R7+1, 0)</f>
      </c>
      <c r="T7" s="24">
        <f>IF('List Ticket'!T7=1, S7+1, 0)</f>
      </c>
      <c r="U7" s="24">
        <f>IF('List Ticket'!U7=1, T7+1, 0)</f>
      </c>
      <c r="V7" s="24">
        <f>IF('List Ticket'!V7=1, U7+1, 0)</f>
      </c>
      <c r="W7" s="24">
        <f>IF('List Ticket'!W7=1, V7+1, 0)</f>
      </c>
      <c r="X7" s="24">
        <f>IF('List Ticket'!X7=1, W7+1, 0)</f>
      </c>
      <c r="Y7" s="24">
        <f>IF('List Ticket'!Y7=1, X7+1, 0)</f>
      </c>
      <c r="Z7" s="24">
        <f>IF('List Ticket'!Z7=1, Y7+1, 0)</f>
      </c>
      <c r="AA7" s="27">
        <f>SUM(C7:Z7)</f>
      </c>
      <c r="AB7" s="30">
        <v>1</v>
      </c>
      <c r="AC7" s="32">
        <v>0</v>
      </c>
      <c r="AD7" s="32">
        <v>0</v>
      </c>
      <c r="AE7" s="25">
        <v>0</v>
      </c>
      <c r="AF7" s="26">
        <v>1</v>
      </c>
    </row>
    <row r="8">
      <c r="A8" s="9">
        <v>4</v>
      </c>
      <c r="B8" s="28" t="str">
        <v>efrio</v>
      </c>
      <c r="C8" s="29">
        <f>IF('List Ticket'!C8=1, 1, 0)</f>
      </c>
      <c r="D8" s="31">
        <f>IF('List Ticket'!D8=1, C8+1, 0)</f>
      </c>
      <c r="E8" s="24">
        <f>IF('List Ticket'!E8=1, D8+1, 0)</f>
      </c>
      <c r="F8" s="24">
        <f>IF('List Ticket'!F8=1, E8+1, 0)</f>
      </c>
      <c r="G8" s="24">
        <f>IF('List Ticket'!G8=1, F8+1, 0)</f>
      </c>
      <c r="H8" s="24">
        <f>IF('List Ticket'!H8=1, G8+1, 0)</f>
      </c>
      <c r="I8" s="24">
        <f>IF('List Ticket'!I8=1, H8+1, 0)</f>
      </c>
      <c r="J8" s="24">
        <f>IF('List Ticket'!J8=1, I8+1, 0)</f>
      </c>
      <c r="K8" s="24">
        <f>IF('List Ticket'!K8=1, J8+1, 0)</f>
      </c>
      <c r="L8" s="24">
        <f>IF('List Ticket'!L8=1, K8+1, 0)</f>
      </c>
      <c r="M8" s="24">
        <f>IF('List Ticket'!M8=1, L8+1, 0)</f>
      </c>
      <c r="N8" s="24">
        <f>IF('List Ticket'!N8=1, M8+1, 0)</f>
      </c>
      <c r="O8" s="24">
        <f>IF('List Ticket'!O8=1, N8+1, 0)</f>
      </c>
      <c r="P8" s="24">
        <f>IF('List Ticket'!P8=1, O8+1, 0)</f>
      </c>
      <c r="Q8" s="24">
        <f>IF('List Ticket'!Q8=1, P8+1, 0)</f>
      </c>
      <c r="R8" s="24">
        <f>IF('List Ticket'!R8=1, Q8+1, 0)</f>
      </c>
      <c r="S8" s="24">
        <f>IF('List Ticket'!S8=1, R8+1, 0)</f>
      </c>
      <c r="T8" s="24">
        <f>IF('List Ticket'!T8=1, S8+1, 0)</f>
      </c>
      <c r="U8" s="24">
        <f>IF('List Ticket'!U8=1, T8+1, 0)</f>
      </c>
      <c r="V8" s="24">
        <f>IF('List Ticket'!V8=1, U8+1, 0)</f>
      </c>
      <c r="W8" s="24">
        <f>IF('List Ticket'!W8=1, V8+1, 0)</f>
      </c>
      <c r="X8" s="24">
        <f>IF('List Ticket'!X8=1, W8+1, 0)</f>
      </c>
      <c r="Y8" s="24">
        <f>IF('List Ticket'!Y8=1, X8+1, 0)</f>
      </c>
      <c r="Z8" s="24">
        <f>IF('List Ticket'!Z8=1, Y8+1, 0)</f>
      </c>
      <c r="AA8" s="27">
        <f>SUM(C8:Z8)</f>
      </c>
      <c r="AB8" s="30">
        <v>1</v>
      </c>
      <c r="AC8" s="32">
        <v>0</v>
      </c>
      <c r="AD8" s="32">
        <v>0</v>
      </c>
      <c r="AE8" s="25">
        <v>0</v>
      </c>
      <c r="AF8" s="26">
        <v>1</v>
      </c>
    </row>
    <row r="9">
      <c r="A9" s="9">
        <v>5</v>
      </c>
      <c r="B9" s="28" t="str">
        <v>yupid</v>
      </c>
      <c r="C9" s="29">
        <f>IF('List Ticket'!C9=1, 1, 0)</f>
      </c>
      <c r="D9" s="31">
        <f>IF('List Ticket'!D9=1, C9+1, 0)</f>
      </c>
      <c r="E9" s="24">
        <f>IF('List Ticket'!E9=1, D9+1, 0)</f>
      </c>
      <c r="F9" s="24">
        <f>IF('List Ticket'!F9=1, E9+1, 0)</f>
      </c>
      <c r="G9" s="24">
        <f>IF('List Ticket'!G9=1, F9+1, 0)</f>
      </c>
      <c r="H9" s="24">
        <f>IF('List Ticket'!H9=1, G9+1, 0)</f>
      </c>
      <c r="I9" s="24">
        <f>IF('List Ticket'!I9=1, H9+1, 0)</f>
      </c>
      <c r="J9" s="24">
        <f>IF('List Ticket'!J9=1, I9+1, 0)</f>
      </c>
      <c r="K9" s="24">
        <f>IF('List Ticket'!K9=1, J9+1, 0)</f>
      </c>
      <c r="L9" s="24">
        <f>IF('List Ticket'!L9=1, K9+1, 0)</f>
      </c>
      <c r="M9" s="24">
        <f>IF('List Ticket'!M9=1, L9+1, 0)</f>
      </c>
      <c r="N9" s="24">
        <f>IF('List Ticket'!N9=1, M9+1, 0)</f>
      </c>
      <c r="O9" s="24">
        <f>IF('List Ticket'!O9=1, N9+1, 0)</f>
      </c>
      <c r="P9" s="24">
        <f>IF('List Ticket'!P9=1, O9+1, 0)</f>
      </c>
      <c r="Q9" s="24">
        <f>IF('List Ticket'!Q9=1, P9+1, 0)</f>
      </c>
      <c r="R9" s="24">
        <f>IF('List Ticket'!R9=1, Q9+1, 0)</f>
      </c>
      <c r="S9" s="24">
        <f>IF('List Ticket'!S9=1, R9+1, 0)</f>
      </c>
      <c r="T9" s="24">
        <f>IF('List Ticket'!T9=1, S9+1, 0)</f>
      </c>
      <c r="U9" s="24">
        <f>IF('List Ticket'!U9=1, T9+1, 0)</f>
      </c>
      <c r="V9" s="24">
        <f>IF('List Ticket'!V9=1, U9+1, 0)</f>
      </c>
      <c r="W9" s="24">
        <f>IF('List Ticket'!W9=1, V9+1, 0)</f>
      </c>
      <c r="X9" s="24">
        <f>IF('List Ticket'!X9=1, W9+1, 0)</f>
      </c>
      <c r="Y9" s="24">
        <f>IF('List Ticket'!Y9=1, X9+1, 0)</f>
      </c>
      <c r="Z9" s="24">
        <f>IF('List Ticket'!Z9=1, Y9+1, 0)</f>
      </c>
      <c r="AA9" s="27">
        <f>SUM(C9:Z9)</f>
      </c>
      <c r="AB9" s="30">
        <v>1</v>
      </c>
      <c r="AC9" s="32">
        <v>0</v>
      </c>
      <c r="AD9" s="32">
        <v>0</v>
      </c>
      <c r="AE9" s="25">
        <v>0</v>
      </c>
      <c r="AF9" s="26">
        <v>1</v>
      </c>
    </row>
    <row r="10">
      <c r="A10" s="9">
        <v>6</v>
      </c>
      <c r="B10" s="28" t="str">
        <v>kilek</v>
      </c>
      <c r="C10" s="29">
        <f>IF('List Ticket'!C10=1, 1, 0)</f>
      </c>
      <c r="D10" s="31">
        <f>IF('List Ticket'!D10=1, C10+1, 0)</f>
      </c>
      <c r="E10" s="24">
        <f>IF('List Ticket'!E10=1, D10+1, 0)</f>
      </c>
      <c r="F10" s="24">
        <f>IF('List Ticket'!F10=1, E10+1, 0)</f>
      </c>
      <c r="G10" s="24">
        <f>IF('List Ticket'!G10=1, F10+1, 0)</f>
      </c>
      <c r="H10" s="24">
        <f>IF('List Ticket'!H10=1, G10+1, 0)</f>
      </c>
      <c r="I10" s="24">
        <f>IF('List Ticket'!I10=1, H10+1, 0)</f>
      </c>
      <c r="J10" s="24">
        <f>IF('List Ticket'!J10=1, I10+1, 0)</f>
      </c>
      <c r="K10" s="24">
        <f>IF('List Ticket'!K10=1, J10+1, 0)</f>
      </c>
      <c r="L10" s="24">
        <f>IF('List Ticket'!L10=1, K10+1, 0)</f>
      </c>
      <c r="M10" s="24">
        <f>IF('List Ticket'!M10=1, L10+1, 0)</f>
      </c>
      <c r="N10" s="24">
        <f>IF('List Ticket'!N10=1, M10+1, 0)</f>
      </c>
      <c r="O10" s="24">
        <f>IF('List Ticket'!O10=1, N10+1, 0)</f>
      </c>
      <c r="P10" s="24">
        <f>IF('List Ticket'!P10=1, O10+1, 0)</f>
      </c>
      <c r="Q10" s="24">
        <f>IF('List Ticket'!Q10=1, P10+1, 0)</f>
      </c>
      <c r="R10" s="24">
        <f>IF('List Ticket'!R10=1, Q10+1, 0)</f>
      </c>
      <c r="S10" s="24">
        <f>IF('List Ticket'!S10=1, R10+1, 0)</f>
      </c>
      <c r="T10" s="24">
        <f>IF('List Ticket'!T10=1, S10+1, 0)</f>
      </c>
      <c r="U10" s="24">
        <f>IF('List Ticket'!U10=1, T10+1, 0)</f>
      </c>
      <c r="V10" s="24">
        <f>IF('List Ticket'!V10=1, U10+1, 0)</f>
      </c>
      <c r="W10" s="24">
        <f>IF('List Ticket'!W10=1, V10+1, 0)</f>
      </c>
      <c r="X10" s="24">
        <f>IF('List Ticket'!X10=1, W10+1, 0)</f>
      </c>
      <c r="Y10" s="24">
        <f>IF('List Ticket'!Y10=1, X10+1, 0)</f>
      </c>
      <c r="Z10" s="24">
        <f>IF('List Ticket'!Z10=1, Y10+1, 0)</f>
      </c>
      <c r="AA10" s="27">
        <f>SUM(C10:Z10)</f>
      </c>
      <c r="AB10" s="30">
        <v>1</v>
      </c>
      <c r="AC10" s="32">
        <v>0</v>
      </c>
      <c r="AD10" s="32">
        <v>0</v>
      </c>
      <c r="AE10" s="25">
        <v>0</v>
      </c>
      <c r="AF10" s="26">
        <v>1</v>
      </c>
    </row>
    <row r="11">
      <c r="A11" s="9">
        <v>7</v>
      </c>
      <c r="B11" s="28" t="str">
        <v>Profit</v>
      </c>
      <c r="C11" s="29">
        <f>IF('List Ticket'!C11=1, 1, 0)</f>
      </c>
      <c r="D11" s="31">
        <f>IF('List Ticket'!D11=1, C11+1, 0)</f>
      </c>
      <c r="E11" s="24">
        <f>IF('List Ticket'!E11=1, D11+1, 0)</f>
      </c>
      <c r="F11" s="24">
        <f>IF('List Ticket'!F11=1, E11+1, 0)</f>
      </c>
      <c r="G11" s="24">
        <f>IF('List Ticket'!G11=1, F11+1, 0)</f>
      </c>
      <c r="H11" s="24">
        <f>IF('List Ticket'!H11=1, G11+1, 0)</f>
      </c>
      <c r="I11" s="24">
        <f>IF('List Ticket'!I11=1, H11+1, 0)</f>
      </c>
      <c r="J11" s="24">
        <f>IF('List Ticket'!J11=1, I11+1, 0)</f>
      </c>
      <c r="K11" s="24">
        <f>IF('List Ticket'!K11=1, J11+1, 0)</f>
      </c>
      <c r="L11" s="24">
        <f>IF('List Ticket'!L11=1, K11+1, 0)</f>
      </c>
      <c r="M11" s="24">
        <f>IF('List Ticket'!M11=1, L11+1, 0)</f>
      </c>
      <c r="N11" s="24">
        <f>IF('List Ticket'!N11=1, M11+1, 0)</f>
      </c>
      <c r="O11" s="24">
        <f>IF('List Ticket'!O11=1, N11+1, 0)</f>
      </c>
      <c r="P11" s="24">
        <f>IF('List Ticket'!P11=1, O11+1, 0)</f>
      </c>
      <c r="Q11" s="24">
        <f>IF('List Ticket'!Q11=1, P11+1, 0)</f>
      </c>
      <c r="R11" s="24">
        <f>IF('List Ticket'!R11=1, Q11+1, 0)</f>
      </c>
      <c r="S11" s="24">
        <f>IF('List Ticket'!S11=1, R11+1, 0)</f>
      </c>
      <c r="T11" s="24">
        <f>IF('List Ticket'!T11=1, S11+1, 0)</f>
      </c>
      <c r="U11" s="24">
        <f>IF('List Ticket'!U11=1, T11+1, 0)</f>
      </c>
      <c r="V11" s="24">
        <f>IF('List Ticket'!V11=1, U11+1, 0)</f>
      </c>
      <c r="W11" s="24">
        <f>IF('List Ticket'!W11=1, V11+1, 0)</f>
      </c>
      <c r="X11" s="24">
        <f>IF('List Ticket'!X11=1, W11+1, 0)</f>
      </c>
      <c r="Y11" s="24">
        <f>IF('List Ticket'!Y11=1, X11+1, 0)</f>
      </c>
      <c r="Z11" s="24">
        <f>IF('List Ticket'!Z11=1, Y11+1, 0)</f>
      </c>
      <c r="AA11" s="27">
        <f>SUM(C11:Z11)</f>
      </c>
      <c r="AB11" s="30">
        <v>1</v>
      </c>
      <c r="AC11" s="32">
        <v>0</v>
      </c>
      <c r="AD11" s="32">
        <v>0</v>
      </c>
      <c r="AE11" s="25">
        <v>0</v>
      </c>
      <c r="AF11" s="26">
        <v>1</v>
      </c>
    </row>
    <row r="12">
      <c r="A12" s="9">
        <v>8</v>
      </c>
      <c r="B12" s="28" t="str">
        <v>R389</v>
      </c>
      <c r="C12" s="29">
        <f>IF('List Ticket'!C12=1, 1, 0)</f>
      </c>
      <c r="D12" s="31">
        <f>IF('List Ticket'!D12=1, C12+1, 0)</f>
      </c>
      <c r="E12" s="24">
        <f>IF('List Ticket'!E12=1, D12+1, 0)</f>
      </c>
      <c r="F12" s="24">
        <f>IF('List Ticket'!F12=1, E12+1, 0)</f>
      </c>
      <c r="G12" s="24">
        <f>IF('List Ticket'!G12=1, F12+1, 0)</f>
      </c>
      <c r="H12" s="24">
        <f>IF('List Ticket'!H12=1, G12+1, 0)</f>
      </c>
      <c r="I12" s="24">
        <f>IF('List Ticket'!I12=1, H12+1, 0)</f>
      </c>
      <c r="J12" s="24">
        <f>IF('List Ticket'!J12=1, I12+1, 0)</f>
      </c>
      <c r="K12" s="24">
        <f>IF('List Ticket'!K12=1, J12+1, 0)</f>
      </c>
      <c r="L12" s="24">
        <f>IF('List Ticket'!L12=1, K12+1, 0)</f>
      </c>
      <c r="M12" s="24">
        <f>IF('List Ticket'!M12=1, L12+1, 0)</f>
      </c>
      <c r="N12" s="24">
        <f>IF('List Ticket'!N12=1, M12+1, 0)</f>
      </c>
      <c r="O12" s="24">
        <f>IF('List Ticket'!O12=1, N12+1, 0)</f>
      </c>
      <c r="P12" s="24">
        <f>IF('List Ticket'!P12=1, O12+1, 0)</f>
      </c>
      <c r="Q12" s="24">
        <f>IF('List Ticket'!Q12=1, P12+1, 0)</f>
      </c>
      <c r="R12" s="24">
        <f>IF('List Ticket'!R12=1, Q12+1, 0)</f>
      </c>
      <c r="S12" s="24">
        <f>IF('List Ticket'!S12=1, R12+1, 0)</f>
      </c>
      <c r="T12" s="24">
        <f>IF('List Ticket'!T12=1, S12+1, 0)</f>
      </c>
      <c r="U12" s="24">
        <f>IF('List Ticket'!U12=1, T12+1, 0)</f>
      </c>
      <c r="V12" s="24">
        <f>IF('List Ticket'!V12=1, U12+1, 0)</f>
      </c>
      <c r="W12" s="24">
        <f>IF('List Ticket'!W12=1, V12+1, 0)</f>
      </c>
      <c r="X12" s="24">
        <f>IF('List Ticket'!X12=1, W12+1, 0)</f>
      </c>
      <c r="Y12" s="24">
        <f>IF('List Ticket'!Y12=1, X12+1, 0)</f>
      </c>
      <c r="Z12" s="24">
        <f>IF('List Ticket'!Z12=1, Y12+1, 0)</f>
      </c>
      <c r="AA12" s="27">
        <f>SUM(C12:Z12)</f>
      </c>
      <c r="AB12" s="30">
        <v>1</v>
      </c>
      <c r="AC12" s="32">
        <v>0</v>
      </c>
      <c r="AD12" s="32">
        <v>0</v>
      </c>
      <c r="AE12" s="25">
        <v>0</v>
      </c>
      <c r="AF12" s="26">
        <v>1</v>
      </c>
    </row>
    <row r="13">
      <c r="A13" s="9">
        <v>9</v>
      </c>
      <c r="B13" s="28" t="str">
        <v>Egen</v>
      </c>
      <c r="C13" s="29">
        <f>IF('List Ticket'!C13=1, 1, 0)</f>
      </c>
      <c r="D13" s="31">
        <f>IF('List Ticket'!D13=1, C13+1, 0)</f>
      </c>
      <c r="E13" s="24">
        <f>IF('List Ticket'!E13=1, D13+1, 0)</f>
      </c>
      <c r="F13" s="24">
        <f>IF('List Ticket'!F13=1, E13+1, 0)</f>
      </c>
      <c r="G13" s="24">
        <f>IF('List Ticket'!G13=1, F13+1, 0)</f>
      </c>
      <c r="H13" s="24">
        <f>IF('List Ticket'!H13=1, G13+1, 0)</f>
      </c>
      <c r="I13" s="24">
        <f>IF('List Ticket'!I13=1, H13+1, 0)</f>
      </c>
      <c r="J13" s="24">
        <f>IF('List Ticket'!J13=1, I13+1, 0)</f>
      </c>
      <c r="K13" s="24">
        <f>IF('List Ticket'!K13=1, J13+1, 0)</f>
      </c>
      <c r="L13" s="24">
        <f>IF('List Ticket'!L13=1, K13+1, 0)</f>
      </c>
      <c r="M13" s="24">
        <f>IF('List Ticket'!M13=1, L13+1, 0)</f>
      </c>
      <c r="N13" s="24">
        <f>IF('List Ticket'!N13=1, M13+1, 0)</f>
      </c>
      <c r="O13" s="24">
        <f>IF('List Ticket'!O13=1, N13+1, 0)</f>
      </c>
      <c r="P13" s="24">
        <f>IF('List Ticket'!P13=1, O13+1, 0)</f>
      </c>
      <c r="Q13" s="24">
        <f>IF('List Ticket'!Q13=1, P13+1, 0)</f>
      </c>
      <c r="R13" s="24">
        <f>IF('List Ticket'!R13=1, Q13+1, 0)</f>
      </c>
      <c r="S13" s="24">
        <f>IF('List Ticket'!S13=1, R13+1, 0)</f>
      </c>
      <c r="T13" s="24">
        <f>IF('List Ticket'!T13=1, S13+1, 0)</f>
      </c>
      <c r="U13" s="24">
        <f>IF('List Ticket'!U13=1, T13+1, 0)</f>
      </c>
      <c r="V13" s="24">
        <f>IF('List Ticket'!V13=1, U13+1, 0)</f>
      </c>
      <c r="W13" s="24">
        <f>IF('List Ticket'!W13=1, V13+1, 0)</f>
      </c>
      <c r="X13" s="24">
        <f>IF('List Ticket'!X13=1, W13+1, 0)</f>
      </c>
      <c r="Y13" s="24">
        <f>IF('List Ticket'!Y13=1, X13+1, 0)</f>
      </c>
      <c r="Z13" s="24">
        <f>IF('List Ticket'!Z13=1, Y13+1, 0)</f>
      </c>
      <c r="AA13" s="27">
        <f>SUM(C13:Z13)</f>
      </c>
      <c r="AB13" s="30">
        <v>1</v>
      </c>
      <c r="AC13" s="32">
        <v>0</v>
      </c>
      <c r="AD13" s="32">
        <v>0</v>
      </c>
      <c r="AE13" s="25">
        <v>0</v>
      </c>
      <c r="AF13" s="26">
        <v>1</v>
      </c>
    </row>
    <row r="14">
      <c r="A14" s="9">
        <v>10</v>
      </c>
      <c r="B14" s="28" t="str">
        <v>JADE KING</v>
      </c>
      <c r="C14" s="29">
        <f>IF('List Ticket'!C14=1, 1, 0)</f>
      </c>
      <c r="D14" s="31">
        <f>IF('List Ticket'!D14=1, C14+1, 0)</f>
      </c>
      <c r="E14" s="24">
        <f>IF('List Ticket'!E14=1, D14+1, 0)</f>
      </c>
      <c r="F14" s="24">
        <f>IF('List Ticket'!F14=1, E14+1, 0)</f>
      </c>
      <c r="G14" s="24">
        <f>IF('List Ticket'!G14=1, F14+1, 0)</f>
      </c>
      <c r="H14" s="24">
        <f>IF('List Ticket'!H14=1, G14+1, 0)</f>
      </c>
      <c r="I14" s="24">
        <f>IF('List Ticket'!I14=1, H14+1, 0)</f>
      </c>
      <c r="J14" s="24">
        <f>IF('List Ticket'!J14=1, I14+1, 0)</f>
      </c>
      <c r="K14" s="24">
        <f>IF('List Ticket'!K14=1, J14+1, 0)</f>
      </c>
      <c r="L14" s="24">
        <f>IF('List Ticket'!L14=1, K14+1, 0)</f>
      </c>
      <c r="M14" s="24">
        <f>IF('List Ticket'!M14=1, L14+1, 0)</f>
      </c>
      <c r="N14" s="24">
        <f>IF('List Ticket'!N14=1, M14+1, 0)</f>
      </c>
      <c r="O14" s="24">
        <f>IF('List Ticket'!O14=1, N14+1, 0)</f>
      </c>
      <c r="P14" s="24">
        <f>IF('List Ticket'!P14=1, O14+1, 0)</f>
      </c>
      <c r="Q14" s="24">
        <f>IF('List Ticket'!Q14=1, P14+1, 0)</f>
      </c>
      <c r="R14" s="24">
        <f>IF('List Ticket'!R14=1, Q14+1, 0)</f>
      </c>
      <c r="S14" s="24">
        <f>IF('List Ticket'!S14=1, R14+1, 0)</f>
      </c>
      <c r="T14" s="24">
        <f>IF('List Ticket'!T14=1, S14+1, 0)</f>
      </c>
      <c r="U14" s="24">
        <f>IF('List Ticket'!U14=1, T14+1, 0)</f>
      </c>
      <c r="V14" s="24">
        <f>IF('List Ticket'!V14=1, U14+1, 0)</f>
      </c>
      <c r="W14" s="24">
        <f>IF('List Ticket'!W14=1, V14+1, 0)</f>
      </c>
      <c r="X14" s="24">
        <f>IF('List Ticket'!X14=1, W14+1, 0)</f>
      </c>
      <c r="Y14" s="24">
        <f>IF('List Ticket'!Y14=1, X14+1, 0)</f>
      </c>
      <c r="Z14" s="24">
        <f>IF('List Ticket'!Z14=1, Y14+1, 0)</f>
      </c>
      <c r="AA14" s="27">
        <f>SUM(C14:Z14)</f>
      </c>
      <c r="AB14" s="30">
        <v>1</v>
      </c>
      <c r="AC14" s="32">
        <v>0</v>
      </c>
      <c r="AD14" s="32">
        <v>0</v>
      </c>
      <c r="AE14" s="25">
        <v>0</v>
      </c>
      <c r="AF14" s="26">
        <v>1</v>
      </c>
    </row>
    <row r="15">
      <c r="A15" s="9">
        <v>11</v>
      </c>
      <c r="B15" s="28" t="str">
        <v>AV</v>
      </c>
      <c r="C15" s="29">
        <f>IF('List Ticket'!C15=1, 1, 0)</f>
      </c>
      <c r="D15" s="31">
        <f>IF('List Ticket'!D15=1, C15+1, 0)</f>
      </c>
      <c r="E15" s="24">
        <f>IF('List Ticket'!E15=1, D15+1, 0)</f>
      </c>
      <c r="F15" s="24">
        <f>IF('List Ticket'!F15=1, E15+1, 0)</f>
      </c>
      <c r="G15" s="24">
        <f>IF('List Ticket'!G15=1, F15+1, 0)</f>
      </c>
      <c r="H15" s="24">
        <f>IF('List Ticket'!H15=1, G15+1, 0)</f>
      </c>
      <c r="I15" s="24">
        <f>IF('List Ticket'!I15=1, H15+1, 0)</f>
      </c>
      <c r="J15" s="24">
        <f>IF('List Ticket'!J15=1, I15+1, 0)</f>
      </c>
      <c r="K15" s="24">
        <f>IF('List Ticket'!K15=1, J15+1, 0)</f>
      </c>
      <c r="L15" s="24">
        <f>IF('List Ticket'!L15=1, K15+1, 0)</f>
      </c>
      <c r="M15" s="24">
        <f>IF('List Ticket'!M15=1, L15+1, 0)</f>
      </c>
      <c r="N15" s="24">
        <f>IF('List Ticket'!N15=1, M15+1, 0)</f>
      </c>
      <c r="O15" s="24">
        <f>IF('List Ticket'!O15=1, N15+1, 0)</f>
      </c>
      <c r="P15" s="24">
        <f>IF('List Ticket'!P15=1, O15+1, 0)</f>
      </c>
      <c r="Q15" s="24">
        <f>IF('List Ticket'!Q15=1, P15+1, 0)</f>
      </c>
      <c r="R15" s="24">
        <f>IF('List Ticket'!R15=1, Q15+1, 0)</f>
      </c>
      <c r="S15" s="24">
        <f>IF('List Ticket'!S15=1, R15+1, 0)</f>
      </c>
      <c r="T15" s="24">
        <f>IF('List Ticket'!T15=1, S15+1, 0)</f>
      </c>
      <c r="U15" s="24">
        <f>IF('List Ticket'!U15=1, T15+1, 0)</f>
      </c>
      <c r="V15" s="24">
        <f>IF('List Ticket'!V15=1, U15+1, 0)</f>
      </c>
      <c r="W15" s="24">
        <f>IF('List Ticket'!W15=1, V15+1, 0)</f>
      </c>
      <c r="X15" s="24">
        <f>IF('List Ticket'!X15=1, W15+1, 0)</f>
      </c>
      <c r="Y15" s="24">
        <f>IF('List Ticket'!Y15=1, X15+1, 0)</f>
      </c>
      <c r="Z15" s="24">
        <f>IF('List Ticket'!Z15=1, Y15+1, 0)</f>
      </c>
      <c r="AA15" s="27">
        <f>SUM(C15:Z15)</f>
      </c>
      <c r="AB15" s="30">
        <v>1</v>
      </c>
      <c r="AC15" s="32">
        <v>0</v>
      </c>
      <c r="AD15" s="32">
        <v>0</v>
      </c>
      <c r="AE15" s="25">
        <v>0</v>
      </c>
      <c r="AF15" s="26">
        <v>1</v>
      </c>
    </row>
    <row r="16">
      <c r="A16" s="9">
        <v>12</v>
      </c>
      <c r="B16" s="28" t="str">
        <v>Yul Riadi</v>
      </c>
      <c r="C16" s="29">
        <f>IF('List Ticket'!C16=1, 1, 0)</f>
      </c>
      <c r="D16" s="31">
        <f>IF('List Ticket'!D16=1, C16+1, 0)</f>
      </c>
      <c r="E16" s="24">
        <f>IF('List Ticket'!E16=1, D16+1, 0)</f>
      </c>
      <c r="F16" s="24">
        <f>IF('List Ticket'!F16=1, E16+1, 0)</f>
      </c>
      <c r="G16" s="24">
        <f>IF('List Ticket'!G16=1, F16+1, 0)</f>
      </c>
      <c r="H16" s="24">
        <f>IF('List Ticket'!H16=1, G16+1, 0)</f>
      </c>
      <c r="I16" s="24">
        <f>IF('List Ticket'!I16=1, H16+1, 0)</f>
      </c>
      <c r="J16" s="24">
        <f>IF('List Ticket'!J16=1, I16+1, 0)</f>
      </c>
      <c r="K16" s="24">
        <f>IF('List Ticket'!K16=1, J16+1, 0)</f>
      </c>
      <c r="L16" s="24">
        <f>IF('List Ticket'!L16=1, K16+1, 0)</f>
      </c>
      <c r="M16" s="24">
        <f>IF('List Ticket'!M16=1, L16+1, 0)</f>
      </c>
      <c r="N16" s="24">
        <f>IF('List Ticket'!N16=1, M16+1, 0)</f>
      </c>
      <c r="O16" s="24">
        <f>IF('List Ticket'!O16=1, N16+1, 0)</f>
      </c>
      <c r="P16" s="24">
        <f>IF('List Ticket'!P16=1, O16+1, 0)</f>
      </c>
      <c r="Q16" s="24">
        <f>IF('List Ticket'!Q16=1, P16+1, 0)</f>
      </c>
      <c r="R16" s="24">
        <f>IF('List Ticket'!R16=1, Q16+1, 0)</f>
      </c>
      <c r="S16" s="24">
        <f>IF('List Ticket'!S16=1, R16+1, 0)</f>
      </c>
      <c r="T16" s="24">
        <f>IF('List Ticket'!T16=1, S16+1, 0)</f>
      </c>
      <c r="U16" s="24">
        <f>IF('List Ticket'!U16=1, T16+1, 0)</f>
      </c>
      <c r="V16" s="24">
        <f>IF('List Ticket'!V16=1, U16+1, 0)</f>
      </c>
      <c r="W16" s="24">
        <f>IF('List Ticket'!W16=1, V16+1, 0)</f>
      </c>
      <c r="X16" s="24">
        <f>IF('List Ticket'!X16=1, W16+1, 0)</f>
      </c>
      <c r="Y16" s="24">
        <f>IF('List Ticket'!Y16=1, X16+1, 0)</f>
      </c>
      <c r="Z16" s="24">
        <f>IF('List Ticket'!Z16=1, Y16+1, 0)</f>
      </c>
      <c r="AA16" s="27">
        <f>SUM(C16:Z16)</f>
      </c>
      <c r="AB16" s="30">
        <v>1</v>
      </c>
      <c r="AC16" s="32">
        <v>0</v>
      </c>
      <c r="AD16" s="32">
        <v>0</v>
      </c>
      <c r="AE16" s="25">
        <v>0</v>
      </c>
      <c r="AF16" s="26">
        <v>1</v>
      </c>
    </row>
    <row r="17">
      <c r="A17" s="9">
        <v>13</v>
      </c>
      <c r="B17" s="28" t="str">
        <v>BSMLH_CUAN</v>
      </c>
      <c r="C17" s="29">
        <f>IF('List Ticket'!C17=1, 1, 0)</f>
      </c>
      <c r="D17" s="31">
        <f>IF('List Ticket'!D17=1, C17+1, 0)</f>
      </c>
      <c r="E17" s="24">
        <f>IF('List Ticket'!E17=1, D17+1, 0)</f>
      </c>
      <c r="F17" s="24">
        <f>IF('List Ticket'!F17=1, E17+1, 0)</f>
      </c>
      <c r="G17" s="24">
        <f>IF('List Ticket'!G17=1, F17+1, 0)</f>
      </c>
      <c r="H17" s="24">
        <f>IF('List Ticket'!H17=1, G17+1, 0)</f>
      </c>
      <c r="I17" s="24">
        <f>IF('List Ticket'!I17=1, H17+1, 0)</f>
      </c>
      <c r="J17" s="24">
        <f>IF('List Ticket'!J17=1, I17+1, 0)</f>
      </c>
      <c r="K17" s="24">
        <f>IF('List Ticket'!K17=1, J17+1, 0)</f>
      </c>
      <c r="L17" s="24">
        <f>IF('List Ticket'!L17=1, K17+1, 0)</f>
      </c>
      <c r="M17" s="24">
        <f>IF('List Ticket'!M17=1, L17+1, 0)</f>
      </c>
      <c r="N17" s="24">
        <f>IF('List Ticket'!N17=1, M17+1, 0)</f>
      </c>
      <c r="O17" s="24">
        <f>IF('List Ticket'!O17=1, N17+1, 0)</f>
      </c>
      <c r="P17" s="24">
        <f>IF('List Ticket'!P17=1, O17+1, 0)</f>
      </c>
      <c r="Q17" s="24">
        <f>IF('List Ticket'!Q17=1, P17+1, 0)</f>
      </c>
      <c r="R17" s="24">
        <f>IF('List Ticket'!R17=1, Q17+1, 0)</f>
      </c>
      <c r="S17" s="24">
        <f>IF('List Ticket'!S17=1, R17+1, 0)</f>
      </c>
      <c r="T17" s="24">
        <f>IF('List Ticket'!T17=1, S17+1, 0)</f>
      </c>
      <c r="U17" s="24">
        <f>IF('List Ticket'!U17=1, T17+1, 0)</f>
      </c>
      <c r="V17" s="24">
        <f>IF('List Ticket'!V17=1, U17+1, 0)</f>
      </c>
      <c r="W17" s="24">
        <f>IF('List Ticket'!W17=1, V17+1, 0)</f>
      </c>
      <c r="X17" s="24">
        <f>IF('List Ticket'!X17=1, W17+1, 0)</f>
      </c>
      <c r="Y17" s="24">
        <f>IF('List Ticket'!Y17=1, X17+1, 0)</f>
      </c>
      <c r="Z17" s="24">
        <f>IF('List Ticket'!Z17=1, Y17+1, 0)</f>
      </c>
      <c r="AA17" s="27">
        <f>SUM(C17:Z17)</f>
      </c>
      <c r="AB17" s="30">
        <v>1</v>
      </c>
      <c r="AC17" s="32">
        <v>0</v>
      </c>
      <c r="AD17" s="32">
        <v>0</v>
      </c>
      <c r="AE17" s="25">
        <v>0</v>
      </c>
      <c r="AF17" s="26">
        <v>1</v>
      </c>
    </row>
    <row r="18">
      <c r="A18" s="9">
        <v>14</v>
      </c>
      <c r="B18" s="28" t="str">
        <v>Maya</v>
      </c>
      <c r="C18" s="29">
        <f>IF('List Ticket'!C18=1, 1, 0)</f>
      </c>
      <c r="D18" s="31">
        <f>IF('List Ticket'!D18=1, C18+1, 0)</f>
      </c>
      <c r="E18" s="24">
        <f>IF('List Ticket'!E18=1, D18+1, 0)</f>
      </c>
      <c r="F18" s="24">
        <f>IF('List Ticket'!F18=1, E18+1, 0)</f>
      </c>
      <c r="G18" s="24">
        <f>IF('List Ticket'!G18=1, F18+1, 0)</f>
      </c>
      <c r="H18" s="24">
        <f>IF('List Ticket'!H18=1, G18+1, 0)</f>
      </c>
      <c r="I18" s="24">
        <f>IF('List Ticket'!I18=1, H18+1, 0)</f>
      </c>
      <c r="J18" s="24">
        <f>IF('List Ticket'!J18=1, I18+1, 0)</f>
      </c>
      <c r="K18" s="24">
        <f>IF('List Ticket'!K18=1, J18+1, 0)</f>
      </c>
      <c r="L18" s="24">
        <f>IF('List Ticket'!L18=1, K18+1, 0)</f>
      </c>
      <c r="M18" s="24">
        <f>IF('List Ticket'!M18=1, L18+1, 0)</f>
      </c>
      <c r="N18" s="24">
        <f>IF('List Ticket'!N18=1, M18+1, 0)</f>
      </c>
      <c r="O18" s="24">
        <f>IF('List Ticket'!O18=1, N18+1, 0)</f>
      </c>
      <c r="P18" s="24">
        <f>IF('List Ticket'!P18=1, O18+1, 0)</f>
      </c>
      <c r="Q18" s="24">
        <f>IF('List Ticket'!Q18=1, P18+1, 0)</f>
      </c>
      <c r="R18" s="24">
        <f>IF('List Ticket'!R18=1, Q18+1, 0)</f>
      </c>
      <c r="S18" s="24">
        <f>IF('List Ticket'!S18=1, R18+1, 0)</f>
      </c>
      <c r="T18" s="24">
        <f>IF('List Ticket'!T18=1, S18+1, 0)</f>
      </c>
      <c r="U18" s="24">
        <f>IF('List Ticket'!U18=1, T18+1, 0)</f>
      </c>
      <c r="V18" s="24">
        <f>IF('List Ticket'!V18=1, U18+1, 0)</f>
      </c>
      <c r="W18" s="24">
        <f>IF('List Ticket'!W18=1, V18+1, 0)</f>
      </c>
      <c r="X18" s="24">
        <f>IF('List Ticket'!X18=1, W18+1, 0)</f>
      </c>
      <c r="Y18" s="24">
        <f>IF('List Ticket'!Y18=1, X18+1, 0)</f>
      </c>
      <c r="Z18" s="24">
        <f>IF('List Ticket'!Z18=1, Y18+1, 0)</f>
      </c>
      <c r="AA18" s="27">
        <f>SUM(C18:Z18)</f>
      </c>
      <c r="AB18" s="30">
        <v>1</v>
      </c>
      <c r="AC18" s="32">
        <v>0</v>
      </c>
      <c r="AD18" s="32">
        <v>0</v>
      </c>
      <c r="AE18" s="25">
        <v>0</v>
      </c>
      <c r="AF18" s="26">
        <v>1</v>
      </c>
    </row>
    <row r="19">
      <c r="A19" s="9">
        <v>15</v>
      </c>
      <c r="B19" s="28" t="str">
        <v>Mich</v>
      </c>
      <c r="C19" s="29">
        <f>IF('List Ticket'!C19=1, 1, 0)</f>
      </c>
      <c r="D19" s="31">
        <f>IF('List Ticket'!D19=1, C19+1, 0)</f>
      </c>
      <c r="E19" s="24">
        <f>IF('List Ticket'!E19=1, D19+1, 0)</f>
      </c>
      <c r="F19" s="24">
        <f>IF('List Ticket'!F19=1, E19+1, 0)</f>
      </c>
      <c r="G19" s="24">
        <f>IF('List Ticket'!G19=1, F19+1, 0)</f>
      </c>
      <c r="H19" s="24">
        <f>IF('List Ticket'!H19=1, G19+1, 0)</f>
      </c>
      <c r="I19" s="24">
        <f>IF('List Ticket'!I19=1, H19+1, 0)</f>
      </c>
      <c r="J19" s="24">
        <f>IF('List Ticket'!J19=1, I19+1, 0)</f>
      </c>
      <c r="K19" s="24">
        <f>IF('List Ticket'!K19=1, J19+1, 0)</f>
      </c>
      <c r="L19" s="24">
        <f>IF('List Ticket'!L19=1, K19+1, 0)</f>
      </c>
      <c r="M19" s="24">
        <f>IF('List Ticket'!M19=1, L19+1, 0)</f>
      </c>
      <c r="N19" s="24">
        <f>IF('List Ticket'!N19=1, M19+1, 0)</f>
      </c>
      <c r="O19" s="24">
        <f>IF('List Ticket'!O19=1, N19+1, 0)</f>
      </c>
      <c r="P19" s="24">
        <f>IF('List Ticket'!P19=1, O19+1, 0)</f>
      </c>
      <c r="Q19" s="24">
        <f>IF('List Ticket'!Q19=1, P19+1, 0)</f>
      </c>
      <c r="R19" s="24">
        <f>IF('List Ticket'!R19=1, Q19+1, 0)</f>
      </c>
      <c r="S19" s="24">
        <f>IF('List Ticket'!S19=1, R19+1, 0)</f>
      </c>
      <c r="T19" s="24">
        <f>IF('List Ticket'!T19=1, S19+1, 0)</f>
      </c>
      <c r="U19" s="24">
        <f>IF('List Ticket'!U19=1, T19+1, 0)</f>
      </c>
      <c r="V19" s="24">
        <f>IF('List Ticket'!V19=1, U19+1, 0)</f>
      </c>
      <c r="W19" s="24">
        <f>IF('List Ticket'!W19=1, V19+1, 0)</f>
      </c>
      <c r="X19" s="24">
        <f>IF('List Ticket'!X19=1, W19+1, 0)</f>
      </c>
      <c r="Y19" s="24">
        <f>IF('List Ticket'!Y19=1, X19+1, 0)</f>
      </c>
      <c r="Z19" s="24">
        <f>IF('List Ticket'!Z19=1, Y19+1, 0)</f>
      </c>
      <c r="AA19" s="27">
        <f>SUM(C19:Z19)</f>
      </c>
      <c r="AB19" s="30">
        <v>1</v>
      </c>
      <c r="AC19" s="32">
        <v>0</v>
      </c>
      <c r="AD19" s="32">
        <v>0</v>
      </c>
      <c r="AE19" s="25">
        <v>0</v>
      </c>
      <c r="AF19" s="26">
        <v>1</v>
      </c>
    </row>
    <row r="20">
      <c r="A20" s="9">
        <v>16</v>
      </c>
      <c r="B20" s="28" t="str">
        <v>hyph90</v>
      </c>
      <c r="C20" s="29">
        <f>IF('List Ticket'!C20=1, 1, 0)</f>
      </c>
      <c r="D20" s="31">
        <f>IF('List Ticket'!D20=1, C20+1, 0)</f>
      </c>
      <c r="E20" s="24">
        <f>IF('List Ticket'!E20=1, D20+1, 0)</f>
      </c>
      <c r="F20" s="24">
        <f>IF('List Ticket'!F20=1, E20+1, 0)</f>
      </c>
      <c r="G20" s="24">
        <f>IF('List Ticket'!G20=1, F20+1, 0)</f>
      </c>
      <c r="H20" s="24">
        <f>IF('List Ticket'!H20=1, G20+1, 0)</f>
      </c>
      <c r="I20" s="24">
        <f>IF('List Ticket'!I20=1, H20+1, 0)</f>
      </c>
      <c r="J20" s="24">
        <f>IF('List Ticket'!J20=1, I20+1, 0)</f>
      </c>
      <c r="K20" s="24">
        <f>IF('List Ticket'!K20=1, J20+1, 0)</f>
      </c>
      <c r="L20" s="24">
        <f>IF('List Ticket'!L20=1, K20+1, 0)</f>
      </c>
      <c r="M20" s="24">
        <f>IF('List Ticket'!M20=1, L20+1, 0)</f>
      </c>
      <c r="N20" s="24">
        <f>IF('List Ticket'!N20=1, M20+1, 0)</f>
      </c>
      <c r="O20" s="24">
        <f>IF('List Ticket'!O20=1, N20+1, 0)</f>
      </c>
      <c r="P20" s="24">
        <f>IF('List Ticket'!P20=1, O20+1, 0)</f>
      </c>
      <c r="Q20" s="24">
        <f>IF('List Ticket'!Q20=1, P20+1, 0)</f>
      </c>
      <c r="R20" s="24">
        <f>IF('List Ticket'!R20=1, Q20+1, 0)</f>
      </c>
      <c r="S20" s="24">
        <f>IF('List Ticket'!S20=1, R20+1, 0)</f>
      </c>
      <c r="T20" s="24">
        <f>IF('List Ticket'!T20=1, S20+1, 0)</f>
      </c>
      <c r="U20" s="24">
        <f>IF('List Ticket'!U20=1, T20+1, 0)</f>
      </c>
      <c r="V20" s="24">
        <f>IF('List Ticket'!V20=1, U20+1, 0)</f>
      </c>
      <c r="W20" s="24">
        <f>IF('List Ticket'!W20=1, V20+1, 0)</f>
      </c>
      <c r="X20" s="24">
        <f>IF('List Ticket'!X20=1, W20+1, 0)</f>
      </c>
      <c r="Y20" s="24">
        <f>IF('List Ticket'!Y20=1, X20+1, 0)</f>
      </c>
      <c r="Z20" s="24">
        <f>IF('List Ticket'!Z20=1, Y20+1, 0)</f>
      </c>
      <c r="AA20" s="27">
        <f>SUM(C20:Z20)</f>
      </c>
      <c r="AB20" s="30">
        <v>1</v>
      </c>
      <c r="AC20" s="32">
        <v>0</v>
      </c>
      <c r="AD20" s="32">
        <v>0</v>
      </c>
      <c r="AE20" s="25">
        <v>0</v>
      </c>
      <c r="AF20" s="26">
        <v>1</v>
      </c>
    </row>
    <row r="21">
      <c r="A21" s="9">
        <v>17</v>
      </c>
      <c r="B21" s="28" t="str">
        <v>CLOVER</v>
      </c>
      <c r="C21" s="29">
        <f>IF('List Ticket'!C21=1, 1, 0)</f>
      </c>
      <c r="D21" s="31">
        <f>IF('List Ticket'!D21=1, C21+1, 0)</f>
      </c>
      <c r="E21" s="24">
        <f>IF('List Ticket'!E21=1, D21+1, 0)</f>
      </c>
      <c r="F21" s="24">
        <f>IF('List Ticket'!F21=1, E21+1, 0)</f>
      </c>
      <c r="G21" s="24">
        <f>IF('List Ticket'!G21=1, F21+1, 0)</f>
      </c>
      <c r="H21" s="24">
        <f>IF('List Ticket'!H21=1, G21+1, 0)</f>
      </c>
      <c r="I21" s="24">
        <f>IF('List Ticket'!I21=1, H21+1, 0)</f>
      </c>
      <c r="J21" s="24">
        <f>IF('List Ticket'!J21=1, I21+1, 0)</f>
      </c>
      <c r="K21" s="24">
        <f>IF('List Ticket'!K21=1, J21+1, 0)</f>
      </c>
      <c r="L21" s="24">
        <f>IF('List Ticket'!L21=1, K21+1, 0)</f>
      </c>
      <c r="M21" s="24">
        <f>IF('List Ticket'!M21=1, L21+1, 0)</f>
      </c>
      <c r="N21" s="24">
        <f>IF('List Ticket'!N21=1, M21+1, 0)</f>
      </c>
      <c r="O21" s="24">
        <f>IF('List Ticket'!O21=1, N21+1, 0)</f>
      </c>
      <c r="P21" s="24">
        <f>IF('List Ticket'!P21=1, O21+1, 0)</f>
      </c>
      <c r="Q21" s="24">
        <f>IF('List Ticket'!Q21=1, P21+1, 0)</f>
      </c>
      <c r="R21" s="24">
        <f>IF('List Ticket'!R21=1, Q21+1, 0)</f>
      </c>
      <c r="S21" s="24">
        <f>IF('List Ticket'!S21=1, R21+1, 0)</f>
      </c>
      <c r="T21" s="24">
        <f>IF('List Ticket'!T21=1, S21+1, 0)</f>
      </c>
      <c r="U21" s="24">
        <f>IF('List Ticket'!U21=1, T21+1, 0)</f>
      </c>
      <c r="V21" s="24">
        <f>IF('List Ticket'!V21=1, U21+1, 0)</f>
      </c>
      <c r="W21" s="24">
        <f>IF('List Ticket'!W21=1, V21+1, 0)</f>
      </c>
      <c r="X21" s="24">
        <f>IF('List Ticket'!X21=1, W21+1, 0)</f>
      </c>
      <c r="Y21" s="24">
        <f>IF('List Ticket'!Y21=1, X21+1, 0)</f>
      </c>
      <c r="Z21" s="24">
        <f>IF('List Ticket'!Z21=1, Y21+1, 0)</f>
      </c>
      <c r="AA21" s="27">
        <f>SUM(C21:Z21)</f>
      </c>
      <c r="AB21" s="30">
        <v>1</v>
      </c>
      <c r="AC21" s="32">
        <v>0</v>
      </c>
      <c r="AD21" s="32">
        <v>0</v>
      </c>
      <c r="AE21" s="25">
        <v>0</v>
      </c>
      <c r="AF21" s="26">
        <v>1</v>
      </c>
    </row>
    <row r="22">
      <c r="A22" s="9">
        <v>18</v>
      </c>
      <c r="B22" s="28" t="str">
        <v>Hanya G</v>
      </c>
      <c r="C22" s="29">
        <f>IF('List Ticket'!C22=1, 1, 0)</f>
      </c>
      <c r="D22" s="31">
        <f>IF('List Ticket'!D22=1, C22+1, 0)</f>
      </c>
      <c r="E22" s="24">
        <f>IF('List Ticket'!E22=1, D22+1, 0)</f>
      </c>
      <c r="F22" s="24">
        <f>IF('List Ticket'!F22=1, E22+1, 0)</f>
      </c>
      <c r="G22" s="24">
        <f>IF('List Ticket'!G22=1, F22+1, 0)</f>
      </c>
      <c r="H22" s="24">
        <f>IF('List Ticket'!H22=1, G22+1, 0)</f>
      </c>
      <c r="I22" s="24">
        <f>IF('List Ticket'!I22=1, H22+1, 0)</f>
      </c>
      <c r="J22" s="24">
        <f>IF('List Ticket'!J22=1, I22+1, 0)</f>
      </c>
      <c r="K22" s="24">
        <f>IF('List Ticket'!K22=1, J22+1, 0)</f>
      </c>
      <c r="L22" s="24">
        <f>IF('List Ticket'!L22=1, K22+1, 0)</f>
      </c>
      <c r="M22" s="24">
        <f>IF('List Ticket'!M22=1, L22+1, 0)</f>
      </c>
      <c r="N22" s="24">
        <f>IF('List Ticket'!N22=1, M22+1, 0)</f>
      </c>
      <c r="O22" s="24">
        <f>IF('List Ticket'!O22=1, N22+1, 0)</f>
      </c>
      <c r="P22" s="24">
        <f>IF('List Ticket'!P22=1, O22+1, 0)</f>
      </c>
      <c r="Q22" s="24">
        <f>IF('List Ticket'!Q22=1, P22+1, 0)</f>
      </c>
      <c r="R22" s="24">
        <f>IF('List Ticket'!R22=1, Q22+1, 0)</f>
      </c>
      <c r="S22" s="24">
        <f>IF('List Ticket'!S22=1, R22+1, 0)</f>
      </c>
      <c r="T22" s="24">
        <f>IF('List Ticket'!T22=1, S22+1, 0)</f>
      </c>
      <c r="U22" s="24">
        <f>IF('List Ticket'!U22=1, T22+1, 0)</f>
      </c>
      <c r="V22" s="24">
        <f>IF('List Ticket'!V22=1, U22+1, 0)</f>
      </c>
      <c r="W22" s="24">
        <f>IF('List Ticket'!W22=1, V22+1, 0)</f>
      </c>
      <c r="X22" s="24">
        <f>IF('List Ticket'!X22=1, W22+1, 0)</f>
      </c>
      <c r="Y22" s="24">
        <f>IF('List Ticket'!Y22=1, X22+1, 0)</f>
      </c>
      <c r="Z22" s="24">
        <f>IF('List Ticket'!Z22=1, Y22+1, 0)</f>
      </c>
      <c r="AA22" s="27">
        <f>SUM(C22:Z22)</f>
      </c>
      <c r="AB22" s="30">
        <v>1</v>
      </c>
      <c r="AC22" s="32">
        <v>0</v>
      </c>
      <c r="AD22" s="32">
        <v>0</v>
      </c>
      <c r="AE22" s="25">
        <v>0</v>
      </c>
      <c r="AF22" s="26">
        <v>1</v>
      </c>
    </row>
    <row r="23">
      <c r="A23" s="9">
        <v>19</v>
      </c>
      <c r="B23" s="28" t="str">
        <v>Nilla Sahkrisna</v>
      </c>
      <c r="C23" s="29">
        <f>IF('List Ticket'!C23=1, 1, 0)</f>
      </c>
      <c r="D23" s="31">
        <f>IF('List Ticket'!D23=1, C23+1, 0)</f>
      </c>
      <c r="E23" s="24">
        <f>IF('List Ticket'!E23=1, D23+1, 0)</f>
      </c>
      <c r="F23" s="24">
        <f>IF('List Ticket'!F23=1, E23+1, 0)</f>
      </c>
      <c r="G23" s="24">
        <f>IF('List Ticket'!G23=1, F23+1, 0)</f>
      </c>
      <c r="H23" s="24">
        <f>IF('List Ticket'!H23=1, G23+1, 0)</f>
      </c>
      <c r="I23" s="24">
        <f>IF('List Ticket'!I23=1, H23+1, 0)</f>
      </c>
      <c r="J23" s="24">
        <f>IF('List Ticket'!J23=1, I23+1, 0)</f>
      </c>
      <c r="K23" s="24">
        <f>IF('List Ticket'!K23=1, J23+1, 0)</f>
      </c>
      <c r="L23" s="24">
        <f>IF('List Ticket'!L23=1, K23+1, 0)</f>
      </c>
      <c r="M23" s="24">
        <f>IF('List Ticket'!M23=1, L23+1, 0)</f>
      </c>
      <c r="N23" s="24">
        <f>IF('List Ticket'!N23=1, M23+1, 0)</f>
      </c>
      <c r="O23" s="24">
        <f>IF('List Ticket'!O23=1, N23+1, 0)</f>
      </c>
      <c r="P23" s="24">
        <f>IF('List Ticket'!P23=1, O23+1, 0)</f>
      </c>
      <c r="Q23" s="24">
        <f>IF('List Ticket'!Q23=1, P23+1, 0)</f>
      </c>
      <c r="R23" s="24">
        <f>IF('List Ticket'!R23=1, Q23+1, 0)</f>
      </c>
      <c r="S23" s="24">
        <f>IF('List Ticket'!S23=1, R23+1, 0)</f>
      </c>
      <c r="T23" s="24">
        <f>IF('List Ticket'!T23=1, S23+1, 0)</f>
      </c>
      <c r="U23" s="24">
        <f>IF('List Ticket'!U23=1, T23+1, 0)</f>
      </c>
      <c r="V23" s="24">
        <f>IF('List Ticket'!V23=1, U23+1, 0)</f>
      </c>
      <c r="W23" s="24">
        <f>IF('List Ticket'!W23=1, V23+1, 0)</f>
      </c>
      <c r="X23" s="24">
        <f>IF('List Ticket'!X23=1, W23+1, 0)</f>
      </c>
      <c r="Y23" s="24">
        <f>IF('List Ticket'!Y23=1, X23+1, 0)</f>
      </c>
      <c r="Z23" s="24">
        <f>IF('List Ticket'!Z23=1, Y23+1, 0)</f>
      </c>
      <c r="AA23" s="27">
        <f>SUM(C23:Z23)</f>
      </c>
      <c r="AB23" s="30">
        <v>1</v>
      </c>
      <c r="AC23" s="32">
        <v>0</v>
      </c>
      <c r="AD23" s="32">
        <v>0</v>
      </c>
      <c r="AE23" s="25">
        <v>0</v>
      </c>
      <c r="AF23" s="26">
        <v>1</v>
      </c>
    </row>
    <row r="24">
      <c r="A24" s="9">
        <v>20</v>
      </c>
      <c r="B24" s="28" t="str">
        <v>Gugum</v>
      </c>
      <c r="C24" s="29">
        <f>IF('List Ticket'!C24=1, 1, 0)</f>
      </c>
      <c r="D24" s="31">
        <f>IF('List Ticket'!D24=1, C24+1, 0)</f>
      </c>
      <c r="E24" s="24">
        <f>IF('List Ticket'!E24=1, D24+1, 0)</f>
      </c>
      <c r="F24" s="24">
        <f>IF('List Ticket'!F24=1, E24+1, 0)</f>
      </c>
      <c r="G24" s="24">
        <f>IF('List Ticket'!G24=1, F24+1, 0)</f>
      </c>
      <c r="H24" s="24">
        <f>IF('List Ticket'!H24=1, G24+1, 0)</f>
      </c>
      <c r="I24" s="24">
        <f>IF('List Ticket'!I24=1, H24+1, 0)</f>
      </c>
      <c r="J24" s="24">
        <f>IF('List Ticket'!J24=1, I24+1, 0)</f>
      </c>
      <c r="K24" s="24">
        <f>IF('List Ticket'!K24=1, J24+1, 0)</f>
      </c>
      <c r="L24" s="24">
        <f>IF('List Ticket'!L24=1, K24+1, 0)</f>
      </c>
      <c r="M24" s="24">
        <f>IF('List Ticket'!M24=1, L24+1, 0)</f>
      </c>
      <c r="N24" s="24">
        <f>IF('List Ticket'!N24=1, M24+1, 0)</f>
      </c>
      <c r="O24" s="24">
        <f>IF('List Ticket'!O24=1, N24+1, 0)</f>
      </c>
      <c r="P24" s="24">
        <f>IF('List Ticket'!P24=1, O24+1, 0)</f>
      </c>
      <c r="Q24" s="24">
        <f>IF('List Ticket'!Q24=1, P24+1, 0)</f>
      </c>
      <c r="R24" s="24">
        <f>IF('List Ticket'!R24=1, Q24+1, 0)</f>
      </c>
      <c r="S24" s="24">
        <f>IF('List Ticket'!S24=1, R24+1, 0)</f>
      </c>
      <c r="T24" s="24">
        <f>IF('List Ticket'!T24=1, S24+1, 0)</f>
      </c>
      <c r="U24" s="24">
        <f>IF('List Ticket'!U24=1, T24+1, 0)</f>
      </c>
      <c r="V24" s="24">
        <f>IF('List Ticket'!V24=1, U24+1, 0)</f>
      </c>
      <c r="W24" s="24">
        <f>IF('List Ticket'!W24=1, V24+1, 0)</f>
      </c>
      <c r="X24" s="24">
        <f>IF('List Ticket'!X24=1, W24+1, 0)</f>
      </c>
      <c r="Y24" s="24">
        <f>IF('List Ticket'!Y24=1, X24+1, 0)</f>
      </c>
      <c r="Z24" s="24">
        <f>IF('List Ticket'!Z24=1, Y24+1, 0)</f>
      </c>
      <c r="AA24" s="27">
        <f>SUM(C24:Z24)</f>
      </c>
      <c r="AB24" s="30">
        <v>1</v>
      </c>
      <c r="AC24" s="32">
        <v>0</v>
      </c>
      <c r="AD24" s="32">
        <v>0</v>
      </c>
      <c r="AE24" s="25">
        <v>0</v>
      </c>
      <c r="AF24" s="26">
        <v>1</v>
      </c>
    </row>
    <row r="25">
      <c r="A25" s="9">
        <v>21</v>
      </c>
      <c r="B25" s="28" t="str">
        <v>Pak Ogah</v>
      </c>
      <c r="C25" s="29">
        <f>IF('List Ticket'!C25=1, 1, 0)</f>
      </c>
      <c r="D25" s="31">
        <f>IF('List Ticket'!D25=1, C25+1, 0)</f>
      </c>
      <c r="E25" s="24">
        <f>IF('List Ticket'!E25=1, D25+1, 0)</f>
      </c>
      <c r="F25" s="24">
        <f>IF('List Ticket'!F25=1, E25+1, 0)</f>
      </c>
      <c r="G25" s="24">
        <f>IF('List Ticket'!G25=1, F25+1, 0)</f>
      </c>
      <c r="H25" s="24">
        <f>IF('List Ticket'!H25=1, G25+1, 0)</f>
      </c>
      <c r="I25" s="24">
        <f>IF('List Ticket'!I25=1, H25+1, 0)</f>
      </c>
      <c r="J25" s="24">
        <f>IF('List Ticket'!J25=1, I25+1, 0)</f>
      </c>
      <c r="K25" s="24">
        <f>IF('List Ticket'!K25=1, J25+1, 0)</f>
      </c>
      <c r="L25" s="24">
        <f>IF('List Ticket'!L25=1, K25+1, 0)</f>
      </c>
      <c r="M25" s="24">
        <f>IF('List Ticket'!M25=1, L25+1, 0)</f>
      </c>
      <c r="N25" s="24">
        <f>IF('List Ticket'!N25=1, M25+1, 0)</f>
      </c>
      <c r="O25" s="24">
        <f>IF('List Ticket'!O25=1, N25+1, 0)</f>
      </c>
      <c r="P25" s="24">
        <f>IF('List Ticket'!P25=1, O25+1, 0)</f>
      </c>
      <c r="Q25" s="24">
        <f>IF('List Ticket'!Q25=1, P25+1, 0)</f>
      </c>
      <c r="R25" s="24">
        <f>IF('List Ticket'!R25=1, Q25+1, 0)</f>
      </c>
      <c r="S25" s="24">
        <f>IF('List Ticket'!S25=1, R25+1, 0)</f>
      </c>
      <c r="T25" s="24">
        <f>IF('List Ticket'!T25=1, S25+1, 0)</f>
      </c>
      <c r="U25" s="24">
        <f>IF('List Ticket'!U25=1, T25+1, 0)</f>
      </c>
      <c r="V25" s="24">
        <f>IF('List Ticket'!V25=1, U25+1, 0)</f>
      </c>
      <c r="W25" s="24">
        <f>IF('List Ticket'!W25=1, V25+1, 0)</f>
      </c>
      <c r="X25" s="24">
        <f>IF('List Ticket'!X25=1, W25+1, 0)</f>
      </c>
      <c r="Y25" s="24">
        <f>IF('List Ticket'!Y25=1, X25+1, 0)</f>
      </c>
      <c r="Z25" s="24">
        <f>IF('List Ticket'!Z25=1, Y25+1, 0)</f>
      </c>
      <c r="AA25" s="27">
        <f>SUM(C25:Z25)</f>
      </c>
      <c r="AB25" s="30">
        <v>1</v>
      </c>
      <c r="AC25" s="32">
        <v>0</v>
      </c>
      <c r="AD25" s="32">
        <v>0</v>
      </c>
      <c r="AE25" s="25">
        <v>0</v>
      </c>
      <c r="AF25" s="26">
        <v>1</v>
      </c>
    </row>
    <row r="26">
      <c r="A26" s="9">
        <v>22</v>
      </c>
      <c r="B26" s="28" t="str">
        <v>Yoshi</v>
      </c>
      <c r="C26" s="29">
        <f>IF('List Ticket'!C26=1, 1, 0)</f>
      </c>
      <c r="D26" s="31">
        <f>IF('List Ticket'!D26=1, C26+1, 0)</f>
      </c>
      <c r="E26" s="24">
        <f>IF('List Ticket'!E26=1, D26+1, 0)</f>
      </c>
      <c r="F26" s="24">
        <f>IF('List Ticket'!F26=1, E26+1, 0)</f>
      </c>
      <c r="G26" s="24">
        <f>IF('List Ticket'!G26=1, F26+1, 0)</f>
      </c>
      <c r="H26" s="24">
        <f>IF('List Ticket'!H26=1, G26+1, 0)</f>
      </c>
      <c r="I26" s="24">
        <f>IF('List Ticket'!I26=1, H26+1, 0)</f>
      </c>
      <c r="J26" s="24">
        <f>IF('List Ticket'!J26=1, I26+1, 0)</f>
      </c>
      <c r="K26" s="24">
        <f>IF('List Ticket'!K26=1, J26+1, 0)</f>
      </c>
      <c r="L26" s="24">
        <f>IF('List Ticket'!L26=1, K26+1, 0)</f>
      </c>
      <c r="M26" s="24">
        <f>IF('List Ticket'!M26=1, L26+1, 0)</f>
      </c>
      <c r="N26" s="24">
        <f>IF('List Ticket'!N26=1, M26+1, 0)</f>
      </c>
      <c r="O26" s="24">
        <f>IF('List Ticket'!O26=1, N26+1, 0)</f>
      </c>
      <c r="P26" s="24">
        <f>IF('List Ticket'!P26=1, O26+1, 0)</f>
      </c>
      <c r="Q26" s="24">
        <f>IF('List Ticket'!Q26=1, P26+1, 0)</f>
      </c>
      <c r="R26" s="24">
        <f>IF('List Ticket'!R26=1, Q26+1, 0)</f>
      </c>
      <c r="S26" s="24">
        <f>IF('List Ticket'!S26=1, R26+1, 0)</f>
      </c>
      <c r="T26" s="24">
        <f>IF('List Ticket'!T26=1, S26+1, 0)</f>
      </c>
      <c r="U26" s="24">
        <f>IF('List Ticket'!U26=1, T26+1, 0)</f>
      </c>
      <c r="V26" s="24">
        <f>IF('List Ticket'!V26=1, U26+1, 0)</f>
      </c>
      <c r="W26" s="24">
        <f>IF('List Ticket'!W26=1, V26+1, 0)</f>
      </c>
      <c r="X26" s="24">
        <f>IF('List Ticket'!X26=1, W26+1, 0)</f>
      </c>
      <c r="Y26" s="24">
        <f>IF('List Ticket'!Y26=1, X26+1, 0)</f>
      </c>
      <c r="Z26" s="24">
        <f>IF('List Ticket'!Z26=1, Y26+1, 0)</f>
      </c>
      <c r="AA26" s="27">
        <f>SUM(C26:Z26)</f>
      </c>
      <c r="AB26" s="30">
        <v>1</v>
      </c>
      <c r="AC26" s="32">
        <v>0</v>
      </c>
      <c r="AD26" s="32">
        <v>0</v>
      </c>
      <c r="AE26" s="25">
        <v>0</v>
      </c>
      <c r="AF26" s="26">
        <v>1</v>
      </c>
    </row>
    <row r="27">
      <c r="A27" s="9">
        <v>23</v>
      </c>
      <c r="B27" s="28" t="str">
        <v>Ennang</v>
      </c>
      <c r="C27" s="29">
        <f>IF('List Ticket'!C27=1, 1, 0)</f>
      </c>
      <c r="D27" s="31">
        <f>IF('List Ticket'!D27=1, C27+1, 0)</f>
      </c>
      <c r="E27" s="24">
        <f>IF('List Ticket'!E27=1, D27+1, 0)</f>
      </c>
      <c r="F27" s="24">
        <f>IF('List Ticket'!F27=1, E27+1, 0)</f>
      </c>
      <c r="G27" s="24">
        <f>IF('List Ticket'!G27=1, F27+1, 0)</f>
      </c>
      <c r="H27" s="24">
        <f>IF('List Ticket'!H27=1, G27+1, 0)</f>
      </c>
      <c r="I27" s="24">
        <f>IF('List Ticket'!I27=1, H27+1, 0)</f>
      </c>
      <c r="J27" s="24">
        <f>IF('List Ticket'!J27=1, I27+1, 0)</f>
      </c>
      <c r="K27" s="24">
        <f>IF('List Ticket'!K27=1, J27+1, 0)</f>
      </c>
      <c r="L27" s="24">
        <f>IF('List Ticket'!L27=1, K27+1, 0)</f>
      </c>
      <c r="M27" s="24">
        <f>IF('List Ticket'!M27=1, L27+1, 0)</f>
      </c>
      <c r="N27" s="24">
        <f>IF('List Ticket'!N27=1, M27+1, 0)</f>
      </c>
      <c r="O27" s="24">
        <f>IF('List Ticket'!O27=1, N27+1, 0)</f>
      </c>
      <c r="P27" s="24">
        <f>IF('List Ticket'!P27=1, O27+1, 0)</f>
      </c>
      <c r="Q27" s="24">
        <f>IF('List Ticket'!Q27=1, P27+1, 0)</f>
      </c>
      <c r="R27" s="24">
        <f>IF('List Ticket'!R27=1, Q27+1, 0)</f>
      </c>
      <c r="S27" s="24">
        <f>IF('List Ticket'!S27=1, R27+1, 0)</f>
      </c>
      <c r="T27" s="24">
        <f>IF('List Ticket'!T27=1, S27+1, 0)</f>
      </c>
      <c r="U27" s="24">
        <f>IF('List Ticket'!U27=1, T27+1, 0)</f>
      </c>
      <c r="V27" s="24">
        <f>IF('List Ticket'!V27=1, U27+1, 0)</f>
      </c>
      <c r="W27" s="24">
        <f>IF('List Ticket'!W27=1, V27+1, 0)</f>
      </c>
      <c r="X27" s="24">
        <f>IF('List Ticket'!X27=1, W27+1, 0)</f>
      </c>
      <c r="Y27" s="24">
        <f>IF('List Ticket'!Y27=1, X27+1, 0)</f>
      </c>
      <c r="Z27" s="24">
        <f>IF('List Ticket'!Z27=1, Y27+1, 0)</f>
      </c>
      <c r="AA27" s="27">
        <f>SUM(C27:Z27)</f>
      </c>
      <c r="AB27" s="30">
        <v>1</v>
      </c>
      <c r="AC27" s="32">
        <v>0</v>
      </c>
      <c r="AD27" s="32">
        <v>0</v>
      </c>
      <c r="AE27" s="25">
        <v>0</v>
      </c>
      <c r="AF27" s="26">
        <v>1</v>
      </c>
    </row>
    <row r="28">
      <c r="A28" s="9">
        <v>24</v>
      </c>
      <c r="B28" s="28" t="str">
        <v>Mr. CuanTrus</v>
      </c>
      <c r="C28" s="29">
        <f>IF('List Ticket'!C28=1, 1, 0)</f>
      </c>
      <c r="D28" s="31">
        <f>IF('List Ticket'!D28=1, C28+1, 0)</f>
      </c>
      <c r="E28" s="24">
        <f>IF('List Ticket'!E28=1, D28+1, 0)</f>
      </c>
      <c r="F28" s="24">
        <f>IF('List Ticket'!F28=1, E28+1, 0)</f>
      </c>
      <c r="G28" s="24">
        <f>IF('List Ticket'!G28=1, F28+1, 0)</f>
      </c>
      <c r="H28" s="24">
        <f>IF('List Ticket'!H28=1, G28+1, 0)</f>
      </c>
      <c r="I28" s="24">
        <f>IF('List Ticket'!I28=1, H28+1, 0)</f>
      </c>
      <c r="J28" s="24">
        <f>IF('List Ticket'!J28=1, I28+1, 0)</f>
      </c>
      <c r="K28" s="24">
        <f>IF('List Ticket'!K28=1, J28+1, 0)</f>
      </c>
      <c r="L28" s="24">
        <f>IF('List Ticket'!L28=1, K28+1, 0)</f>
      </c>
      <c r="M28" s="24">
        <f>IF('List Ticket'!M28=1, L28+1, 0)</f>
      </c>
      <c r="N28" s="24">
        <f>IF('List Ticket'!N28=1, M28+1, 0)</f>
      </c>
      <c r="O28" s="24">
        <f>IF('List Ticket'!O28=1, N28+1, 0)</f>
      </c>
      <c r="P28" s="24">
        <f>IF('List Ticket'!P28=1, O28+1, 0)</f>
      </c>
      <c r="Q28" s="24">
        <f>IF('List Ticket'!Q28=1, P28+1, 0)</f>
      </c>
      <c r="R28" s="24">
        <f>IF('List Ticket'!R28=1, Q28+1, 0)</f>
      </c>
      <c r="S28" s="24">
        <f>IF('List Ticket'!S28=1, R28+1, 0)</f>
      </c>
      <c r="T28" s="24">
        <f>IF('List Ticket'!T28=1, S28+1, 0)</f>
      </c>
      <c r="U28" s="24">
        <f>IF('List Ticket'!U28=1, T28+1, 0)</f>
      </c>
      <c r="V28" s="24">
        <f>IF('List Ticket'!V28=1, U28+1, 0)</f>
      </c>
      <c r="W28" s="24">
        <f>IF('List Ticket'!W28=1, V28+1, 0)</f>
      </c>
      <c r="X28" s="24">
        <f>IF('List Ticket'!X28=1, W28+1, 0)</f>
      </c>
      <c r="Y28" s="24">
        <f>IF('List Ticket'!Y28=1, X28+1, 0)</f>
      </c>
      <c r="Z28" s="24">
        <f>IF('List Ticket'!Z28=1, Y28+1, 0)</f>
      </c>
      <c r="AA28" s="27">
        <f>SUM(C28:Z28)</f>
      </c>
      <c r="AB28" s="30">
        <v>1</v>
      </c>
      <c r="AC28" s="32">
        <v>0</v>
      </c>
      <c r="AD28" s="32">
        <v>0</v>
      </c>
      <c r="AE28" s="25">
        <v>0</v>
      </c>
      <c r="AF28" s="26">
        <v>1</v>
      </c>
    </row>
    <row r="29">
      <c r="A29" s="9">
        <v>25</v>
      </c>
      <c r="B29" s="28" t="str">
        <v>SETELANCUAN</v>
      </c>
      <c r="C29" s="29">
        <f>IF('List Ticket'!C29=1, 1, 0)</f>
      </c>
      <c r="D29" s="31">
        <f>IF('List Ticket'!D29=1, C29+1, 0)</f>
      </c>
      <c r="E29" s="24">
        <f>IF('List Ticket'!E29=1, D29+1, 0)</f>
      </c>
      <c r="F29" s="24">
        <f>IF('List Ticket'!F29=1, E29+1, 0)</f>
      </c>
      <c r="G29" s="24">
        <f>IF('List Ticket'!G29=1, F29+1, 0)</f>
      </c>
      <c r="H29" s="24">
        <f>IF('List Ticket'!H29=1, G29+1, 0)</f>
      </c>
      <c r="I29" s="24">
        <f>IF('List Ticket'!I29=1, H29+1, 0)</f>
      </c>
      <c r="J29" s="24">
        <f>IF('List Ticket'!J29=1, I29+1, 0)</f>
      </c>
      <c r="K29" s="24">
        <f>IF('List Ticket'!K29=1, J29+1, 0)</f>
      </c>
      <c r="L29" s="24">
        <f>IF('List Ticket'!L29=1, K29+1, 0)</f>
      </c>
      <c r="M29" s="24">
        <f>IF('List Ticket'!M29=1, L29+1, 0)</f>
      </c>
      <c r="N29" s="24">
        <f>IF('List Ticket'!N29=1, M29+1, 0)</f>
      </c>
      <c r="O29" s="24">
        <f>IF('List Ticket'!O29=1, N29+1, 0)</f>
      </c>
      <c r="P29" s="24">
        <f>IF('List Ticket'!P29=1, O29+1, 0)</f>
      </c>
      <c r="Q29" s="24">
        <f>IF('List Ticket'!Q29=1, P29+1, 0)</f>
      </c>
      <c r="R29" s="24">
        <f>IF('List Ticket'!R29=1, Q29+1, 0)</f>
      </c>
      <c r="S29" s="24">
        <f>IF('List Ticket'!S29=1, R29+1, 0)</f>
      </c>
      <c r="T29" s="24">
        <f>IF('List Ticket'!T29=1, S29+1, 0)</f>
      </c>
      <c r="U29" s="24">
        <f>IF('List Ticket'!U29=1, T29+1, 0)</f>
      </c>
      <c r="V29" s="24">
        <f>IF('List Ticket'!V29=1, U29+1, 0)</f>
      </c>
      <c r="W29" s="24">
        <f>IF('List Ticket'!W29=1, V29+1, 0)</f>
      </c>
      <c r="X29" s="24">
        <f>IF('List Ticket'!X29=1, W29+1, 0)</f>
      </c>
      <c r="Y29" s="24">
        <f>IF('List Ticket'!Y29=1, X29+1, 0)</f>
      </c>
      <c r="Z29" s="24">
        <f>IF('List Ticket'!Z29=1, Y29+1, 0)</f>
      </c>
      <c r="AA29" s="27">
        <f>SUM(C29:Z29)</f>
      </c>
      <c r="AB29" s="30">
        <v>1</v>
      </c>
      <c r="AC29" s="32">
        <v>0</v>
      </c>
      <c r="AD29" s="32">
        <v>0</v>
      </c>
      <c r="AE29" s="25">
        <v>0</v>
      </c>
      <c r="AF29" s="26">
        <v>1</v>
      </c>
    </row>
    <row r="30">
      <c r="A30" s="9">
        <v>26</v>
      </c>
      <c r="B30" s="28" t="str">
        <v>Alfath</v>
      </c>
      <c r="C30" s="29">
        <f>IF('List Ticket'!C30=1, 1, 0)</f>
      </c>
      <c r="D30" s="31">
        <f>IF('List Ticket'!D30=1, C30+1, 0)</f>
      </c>
      <c r="E30" s="24">
        <f>IF('List Ticket'!E30=1, D30+1, 0)</f>
      </c>
      <c r="F30" s="24">
        <f>IF('List Ticket'!F30=1, E30+1, 0)</f>
      </c>
      <c r="G30" s="24">
        <f>IF('List Ticket'!G30=1, F30+1, 0)</f>
      </c>
      <c r="H30" s="24">
        <f>IF('List Ticket'!H30=1, G30+1, 0)</f>
      </c>
      <c r="I30" s="24">
        <f>IF('List Ticket'!I30=1, H30+1, 0)</f>
      </c>
      <c r="J30" s="24">
        <f>IF('List Ticket'!J30=1, I30+1, 0)</f>
      </c>
      <c r="K30" s="24">
        <f>IF('List Ticket'!K30=1, J30+1, 0)</f>
      </c>
      <c r="L30" s="24">
        <f>IF('List Ticket'!L30=1, K30+1, 0)</f>
      </c>
      <c r="M30" s="24">
        <f>IF('List Ticket'!M30=1, L30+1, 0)</f>
      </c>
      <c r="N30" s="24">
        <f>IF('List Ticket'!N30=1, M30+1, 0)</f>
      </c>
      <c r="O30" s="24">
        <f>IF('List Ticket'!O30=1, N30+1, 0)</f>
      </c>
      <c r="P30" s="24">
        <f>IF('List Ticket'!P30=1, O30+1, 0)</f>
      </c>
      <c r="Q30" s="24">
        <f>IF('List Ticket'!Q30=1, P30+1, 0)</f>
      </c>
      <c r="R30" s="24">
        <f>IF('List Ticket'!R30=1, Q30+1, 0)</f>
      </c>
      <c r="S30" s="24">
        <f>IF('List Ticket'!S30=1, R30+1, 0)</f>
      </c>
      <c r="T30" s="24">
        <f>IF('List Ticket'!T30=1, S30+1, 0)</f>
      </c>
      <c r="U30" s="24">
        <f>IF('List Ticket'!U30=1, T30+1, 0)</f>
      </c>
      <c r="V30" s="24">
        <f>IF('List Ticket'!V30=1, U30+1, 0)</f>
      </c>
      <c r="W30" s="24">
        <f>IF('List Ticket'!W30=1, V30+1, 0)</f>
      </c>
      <c r="X30" s="24">
        <f>IF('List Ticket'!X30=1, W30+1, 0)</f>
      </c>
      <c r="Y30" s="24">
        <f>IF('List Ticket'!Y30=1, X30+1, 0)</f>
      </c>
      <c r="Z30" s="24">
        <f>IF('List Ticket'!Z30=1, Y30+1, 0)</f>
      </c>
      <c r="AA30" s="27">
        <f>SUM(C30:Z30)</f>
      </c>
      <c r="AB30" s="30">
        <v>1</v>
      </c>
      <c r="AC30" s="32">
        <v>0</v>
      </c>
      <c r="AD30" s="32">
        <v>0</v>
      </c>
      <c r="AE30" s="25">
        <v>0</v>
      </c>
      <c r="AF30" s="26">
        <v>1</v>
      </c>
    </row>
    <row r="31">
      <c r="A31" s="9">
        <v>27</v>
      </c>
      <c r="B31" s="28" t="str">
        <v>Azi</v>
      </c>
      <c r="C31" s="29">
        <f>IF('List Ticket'!C31=1, 1, 0)</f>
      </c>
      <c r="D31" s="31">
        <f>IF('List Ticket'!D31=1, C31+1, 0)</f>
      </c>
      <c r="E31" s="24">
        <f>IF('List Ticket'!E31=1, D31+1, 0)</f>
      </c>
      <c r="F31" s="24">
        <f>IF('List Ticket'!F31=1, E31+1, 0)</f>
      </c>
      <c r="G31" s="24">
        <f>IF('List Ticket'!G31=1, F31+1, 0)</f>
      </c>
      <c r="H31" s="24">
        <f>IF('List Ticket'!H31=1, G31+1, 0)</f>
      </c>
      <c r="I31" s="24">
        <f>IF('List Ticket'!I31=1, H31+1, 0)</f>
      </c>
      <c r="J31" s="24">
        <f>IF('List Ticket'!J31=1, I31+1, 0)</f>
      </c>
      <c r="K31" s="24">
        <f>IF('List Ticket'!K31=1, J31+1, 0)</f>
      </c>
      <c r="L31" s="24">
        <f>IF('List Ticket'!L31=1, K31+1, 0)</f>
      </c>
      <c r="M31" s="24">
        <f>IF('List Ticket'!M31=1, L31+1, 0)</f>
      </c>
      <c r="N31" s="24">
        <f>IF('List Ticket'!N31=1, M31+1, 0)</f>
      </c>
      <c r="O31" s="24">
        <f>IF('List Ticket'!O31=1, N31+1, 0)</f>
      </c>
      <c r="P31" s="24">
        <f>IF('List Ticket'!P31=1, O31+1, 0)</f>
      </c>
      <c r="Q31" s="24">
        <f>IF('List Ticket'!Q31=1, P31+1, 0)</f>
      </c>
      <c r="R31" s="24">
        <f>IF('List Ticket'!R31=1, Q31+1, 0)</f>
      </c>
      <c r="S31" s="24">
        <f>IF('List Ticket'!S31=1, R31+1, 0)</f>
      </c>
      <c r="T31" s="24">
        <f>IF('List Ticket'!T31=1, S31+1, 0)</f>
      </c>
      <c r="U31" s="24">
        <f>IF('List Ticket'!U31=1, T31+1, 0)</f>
      </c>
      <c r="V31" s="24">
        <f>IF('List Ticket'!V31=1, U31+1, 0)</f>
      </c>
      <c r="W31" s="24">
        <f>IF('List Ticket'!W31=1, V31+1, 0)</f>
      </c>
      <c r="X31" s="24">
        <f>IF('List Ticket'!X31=1, W31+1, 0)</f>
      </c>
      <c r="Y31" s="24">
        <f>IF('List Ticket'!Y31=1, X31+1, 0)</f>
      </c>
      <c r="Z31" s="24">
        <f>IF('List Ticket'!Z31=1, Y31+1, 0)</f>
      </c>
      <c r="AA31" s="27">
        <f>SUM(C31:Z31)</f>
      </c>
      <c r="AB31" s="30">
        <v>1</v>
      </c>
      <c r="AC31" s="32">
        <v>0</v>
      </c>
      <c r="AD31" s="32">
        <v>0</v>
      </c>
      <c r="AE31" s="25">
        <v>0</v>
      </c>
      <c r="AF31" s="26">
        <v>1</v>
      </c>
    </row>
    <row r="32">
      <c r="A32" s="9">
        <v>28</v>
      </c>
      <c r="B32" s="28" t="str">
        <v>Adimaya79</v>
      </c>
      <c r="C32" s="29">
        <f>IF('List Ticket'!C32=1, 1, 0)</f>
      </c>
      <c r="D32" s="31">
        <f>IF('List Ticket'!D32=1, C32+1, 0)</f>
      </c>
      <c r="E32" s="24">
        <f>IF('List Ticket'!E32=1, D32+1, 0)</f>
      </c>
      <c r="F32" s="24">
        <f>IF('List Ticket'!F32=1, E32+1, 0)</f>
      </c>
      <c r="G32" s="24">
        <f>IF('List Ticket'!G32=1, F32+1, 0)</f>
      </c>
      <c r="H32" s="24">
        <f>IF('List Ticket'!H32=1, G32+1, 0)</f>
      </c>
      <c r="I32" s="24">
        <f>IF('List Ticket'!I32=1, H32+1, 0)</f>
      </c>
      <c r="J32" s="24">
        <f>IF('List Ticket'!J32=1, I32+1, 0)</f>
      </c>
      <c r="K32" s="24">
        <f>IF('List Ticket'!K32=1, J32+1, 0)</f>
      </c>
      <c r="L32" s="24">
        <f>IF('List Ticket'!L32=1, K32+1, 0)</f>
      </c>
      <c r="M32" s="24">
        <f>IF('List Ticket'!M32=1, L32+1, 0)</f>
      </c>
      <c r="N32" s="24">
        <f>IF('List Ticket'!N32=1, M32+1, 0)</f>
      </c>
      <c r="O32" s="24">
        <f>IF('List Ticket'!O32=1, N32+1, 0)</f>
      </c>
      <c r="P32" s="24">
        <f>IF('List Ticket'!P32=1, O32+1, 0)</f>
      </c>
      <c r="Q32" s="24">
        <f>IF('List Ticket'!Q32=1, P32+1, 0)</f>
      </c>
      <c r="R32" s="24">
        <f>IF('List Ticket'!R32=1, Q32+1, 0)</f>
      </c>
      <c r="S32" s="24">
        <f>IF('List Ticket'!S32=1, R32+1, 0)</f>
      </c>
      <c r="T32" s="24">
        <f>IF('List Ticket'!T32=1, S32+1, 0)</f>
      </c>
      <c r="U32" s="24">
        <f>IF('List Ticket'!U32=1, T32+1, 0)</f>
      </c>
      <c r="V32" s="24">
        <f>IF('List Ticket'!V32=1, U32+1, 0)</f>
      </c>
      <c r="W32" s="24">
        <f>IF('List Ticket'!W32=1, V32+1, 0)</f>
      </c>
      <c r="X32" s="24">
        <f>IF('List Ticket'!X32=1, W32+1, 0)</f>
      </c>
      <c r="Y32" s="24">
        <f>IF('List Ticket'!Y32=1, X32+1, 0)</f>
      </c>
      <c r="Z32" s="24">
        <f>IF('List Ticket'!Z32=1, Y32+1, 0)</f>
      </c>
      <c r="AA32" s="27">
        <f>SUM(C32:Z32)</f>
      </c>
      <c r="AB32" s="30">
        <v>1</v>
      </c>
      <c r="AC32" s="32">
        <v>0</v>
      </c>
      <c r="AD32" s="32">
        <v>0</v>
      </c>
      <c r="AE32" s="25">
        <v>0</v>
      </c>
      <c r="AF32" s="26">
        <v>1</v>
      </c>
    </row>
    <row r="33">
      <c r="A33" s="9">
        <v>29</v>
      </c>
      <c r="B33" s="28" t="str">
        <v>Bonnino</v>
      </c>
      <c r="C33" s="29">
        <f>IF('List Ticket'!C33=1, 1, 0)</f>
      </c>
      <c r="D33" s="31">
        <f>IF('List Ticket'!D33=1, C33+1, 0)</f>
      </c>
      <c r="E33" s="24">
        <f>IF('List Ticket'!E33=1, D33+1, 0)</f>
      </c>
      <c r="F33" s="24">
        <f>IF('List Ticket'!F33=1, E33+1, 0)</f>
      </c>
      <c r="G33" s="24">
        <f>IF('List Ticket'!G33=1, F33+1, 0)</f>
      </c>
      <c r="H33" s="24">
        <f>IF('List Ticket'!H33=1, G33+1, 0)</f>
      </c>
      <c r="I33" s="24">
        <f>IF('List Ticket'!I33=1, H33+1, 0)</f>
      </c>
      <c r="J33" s="24">
        <f>IF('List Ticket'!J33=1, I33+1, 0)</f>
      </c>
      <c r="K33" s="24">
        <f>IF('List Ticket'!K33=1, J33+1, 0)</f>
      </c>
      <c r="L33" s="24">
        <f>IF('List Ticket'!L33=1, K33+1, 0)</f>
      </c>
      <c r="M33" s="24">
        <f>IF('List Ticket'!M33=1, L33+1, 0)</f>
      </c>
      <c r="N33" s="24">
        <f>IF('List Ticket'!N33=1, M33+1, 0)</f>
      </c>
      <c r="O33" s="24">
        <f>IF('List Ticket'!O33=1, N33+1, 0)</f>
      </c>
      <c r="P33" s="24">
        <f>IF('List Ticket'!P33=1, O33+1, 0)</f>
      </c>
      <c r="Q33" s="24">
        <f>IF('List Ticket'!Q33=1, P33+1, 0)</f>
      </c>
      <c r="R33" s="24">
        <f>IF('List Ticket'!R33=1, Q33+1, 0)</f>
      </c>
      <c r="S33" s="24">
        <f>IF('List Ticket'!S33=1, R33+1, 0)</f>
      </c>
      <c r="T33" s="24">
        <f>IF('List Ticket'!T33=1, S33+1, 0)</f>
      </c>
      <c r="U33" s="24">
        <f>IF('List Ticket'!U33=1, T33+1, 0)</f>
      </c>
      <c r="V33" s="24">
        <f>IF('List Ticket'!V33=1, U33+1, 0)</f>
      </c>
      <c r="W33" s="24">
        <f>IF('List Ticket'!W33=1, V33+1, 0)</f>
      </c>
      <c r="X33" s="24">
        <f>IF('List Ticket'!X33=1, W33+1, 0)</f>
      </c>
      <c r="Y33" s="24">
        <f>IF('List Ticket'!Y33=1, X33+1, 0)</f>
      </c>
      <c r="Z33" s="24">
        <f>IF('List Ticket'!Z33=1, Y33+1, 0)</f>
      </c>
      <c r="AA33" s="27">
        <f>SUM(C33:Z33)</f>
      </c>
      <c r="AB33" s="30">
        <v>1</v>
      </c>
      <c r="AC33" s="32">
        <v>0</v>
      </c>
      <c r="AD33" s="32">
        <v>0</v>
      </c>
      <c r="AE33" s="25">
        <v>0</v>
      </c>
      <c r="AF33" s="26">
        <v>1</v>
      </c>
    </row>
    <row r="34">
      <c r="A34" s="9">
        <v>30</v>
      </c>
      <c r="B34" s="28" t="str">
        <v>Hui Soen Kiong</v>
      </c>
      <c r="C34" s="29">
        <f>IF('List Ticket'!C34=1, 1, 0)</f>
      </c>
      <c r="D34" s="31">
        <f>IF('List Ticket'!D34=1, C34+1, 0)</f>
      </c>
      <c r="E34" s="24">
        <f>IF('List Ticket'!E34=1, D34+1, 0)</f>
      </c>
      <c r="F34" s="24">
        <f>IF('List Ticket'!F34=1, E34+1, 0)</f>
      </c>
      <c r="G34" s="24">
        <f>IF('List Ticket'!G34=1, F34+1, 0)</f>
      </c>
      <c r="H34" s="24">
        <f>IF('List Ticket'!H34=1, G34+1, 0)</f>
      </c>
      <c r="I34" s="24">
        <f>IF('List Ticket'!I34=1, H34+1, 0)</f>
      </c>
      <c r="J34" s="24">
        <f>IF('List Ticket'!J34=1, I34+1, 0)</f>
      </c>
      <c r="K34" s="24">
        <f>IF('List Ticket'!K34=1, J34+1, 0)</f>
      </c>
      <c r="L34" s="24">
        <f>IF('List Ticket'!L34=1, K34+1, 0)</f>
      </c>
      <c r="M34" s="24">
        <f>IF('List Ticket'!M34=1, L34+1, 0)</f>
      </c>
      <c r="N34" s="24">
        <f>IF('List Ticket'!N34=1, M34+1, 0)</f>
      </c>
      <c r="O34" s="24">
        <f>IF('List Ticket'!O34=1, N34+1, 0)</f>
      </c>
      <c r="P34" s="24">
        <f>IF('List Ticket'!P34=1, O34+1, 0)</f>
      </c>
      <c r="Q34" s="24">
        <f>IF('List Ticket'!Q34=1, P34+1, 0)</f>
      </c>
      <c r="R34" s="24">
        <f>IF('List Ticket'!R34=1, Q34+1, 0)</f>
      </c>
      <c r="S34" s="24">
        <f>IF('List Ticket'!S34=1, R34+1, 0)</f>
      </c>
      <c r="T34" s="24">
        <f>IF('List Ticket'!T34=1, S34+1, 0)</f>
      </c>
      <c r="U34" s="24">
        <f>IF('List Ticket'!U34=1, T34+1, 0)</f>
      </c>
      <c r="V34" s="24">
        <f>IF('List Ticket'!V34=1, U34+1, 0)</f>
      </c>
      <c r="W34" s="24">
        <f>IF('List Ticket'!W34=1, V34+1, 0)</f>
      </c>
      <c r="X34" s="24">
        <f>IF('List Ticket'!X34=1, W34+1, 0)</f>
      </c>
      <c r="Y34" s="24">
        <f>IF('List Ticket'!Y34=1, X34+1, 0)</f>
      </c>
      <c r="Z34" s="24">
        <f>IF('List Ticket'!Z34=1, Y34+1, 0)</f>
      </c>
      <c r="AA34" s="27">
        <f>SUM(C34:Z34)</f>
      </c>
      <c r="AB34" s="30">
        <v>1</v>
      </c>
      <c r="AC34" s="32">
        <v>0</v>
      </c>
      <c r="AD34" s="32">
        <v>0</v>
      </c>
      <c r="AE34" s="25">
        <v>0</v>
      </c>
      <c r="AF34" s="26">
        <v>1</v>
      </c>
    </row>
    <row r="35">
      <c r="A35" s="6">
        <v>31</v>
      </c>
      <c r="B35" s="38" t="str">
        <v>JAMberAPA12</v>
      </c>
      <c r="C35" s="29">
        <f>IF('List Ticket'!C35=1, 1, 0)</f>
      </c>
      <c r="D35" s="31">
        <f>IF('List Ticket'!D35=1, C35+1, 0)</f>
      </c>
      <c r="E35" s="24">
        <f>IF('List Ticket'!E35=1, D35+1, 0)</f>
      </c>
      <c r="F35" s="24">
        <f>IF('List Ticket'!F35=1, E35+1, 0)</f>
      </c>
      <c r="G35" s="24">
        <f>IF('List Ticket'!G35=1, F35+1, 0)</f>
      </c>
      <c r="H35" s="24">
        <f>IF('List Ticket'!H35=1, G35+1, 0)</f>
      </c>
      <c r="I35" s="24">
        <f>IF('List Ticket'!I35=1, H35+1, 0)</f>
      </c>
      <c r="J35" s="24">
        <f>IF('List Ticket'!J35=1, I35+1, 0)</f>
      </c>
      <c r="K35" s="24">
        <f>IF('List Ticket'!K35=1, J35+1, 0)</f>
      </c>
      <c r="L35" s="24">
        <f>IF('List Ticket'!L35=1, K35+1, 0)</f>
      </c>
      <c r="M35" s="24">
        <f>IF('List Ticket'!M35=1, L35+1, 0)</f>
      </c>
      <c r="N35" s="24">
        <f>IF('List Ticket'!N35=1, M35+1, 0)</f>
      </c>
      <c r="O35" s="24">
        <f>IF('List Ticket'!O35=1, N35+1, 0)</f>
      </c>
      <c r="P35" s="24">
        <f>IF('List Ticket'!P35=1, O35+1, 0)</f>
      </c>
      <c r="Q35" s="24">
        <f>IF('List Ticket'!Q35=1, P35+1, 0)</f>
      </c>
      <c r="R35" s="24">
        <f>IF('List Ticket'!R35=1, Q35+1, 0)</f>
      </c>
      <c r="S35" s="24">
        <f>IF('List Ticket'!S35=1, R35+1, 0)</f>
      </c>
      <c r="T35" s="24">
        <f>IF('List Ticket'!T35=1, S35+1, 0)</f>
      </c>
      <c r="U35" s="24">
        <f>IF('List Ticket'!U35=1, T35+1, 0)</f>
      </c>
      <c r="V35" s="24">
        <f>IF('List Ticket'!V35=1, U35+1, 0)</f>
      </c>
      <c r="W35" s="24">
        <f>IF('List Ticket'!W35=1, V35+1, 0)</f>
      </c>
      <c r="X35" s="24">
        <f>IF('List Ticket'!X35=1, W35+1, 0)</f>
      </c>
      <c r="Y35" s="24">
        <f>IF('List Ticket'!Y35=1, X35+1, 0)</f>
      </c>
      <c r="Z35" s="24">
        <f>IF('List Ticket'!Z35=1, Y35+1, 0)</f>
      </c>
      <c r="AA35" s="27">
        <f>SUM(C35:Z35)</f>
      </c>
      <c r="AB35" s="39"/>
      <c r="AC35" s="39"/>
      <c r="AD35" s="39"/>
      <c r="AE35" s="39"/>
      <c r="AF35" s="39"/>
    </row>
    <row r="36">
      <c r="A36" s="6">
        <v>32</v>
      </c>
      <c r="B36" s="38" t="str">
        <v>FerryGood</v>
      </c>
      <c r="C36" s="29">
        <f>IF('List Ticket'!C36=1, 1, 0)</f>
      </c>
      <c r="D36" s="31">
        <f>IF('List Ticket'!D36=1, C36+1, 0)</f>
      </c>
      <c r="E36" s="24">
        <f>IF('List Ticket'!E36=1, D36+1, 0)</f>
      </c>
      <c r="F36" s="24">
        <f>IF('List Ticket'!F36=1, E36+1, 0)</f>
      </c>
      <c r="G36" s="24">
        <f>IF('List Ticket'!G36=1, F36+1, 0)</f>
      </c>
      <c r="H36" s="24">
        <f>IF('List Ticket'!H36=1, G36+1, 0)</f>
      </c>
      <c r="I36" s="24">
        <f>IF('List Ticket'!I36=1, H36+1, 0)</f>
      </c>
      <c r="J36" s="24">
        <f>IF('List Ticket'!J36=1, I36+1, 0)</f>
      </c>
      <c r="K36" s="24">
        <f>IF('List Ticket'!K36=1, J36+1, 0)</f>
      </c>
      <c r="L36" s="24">
        <f>IF('List Ticket'!L36=1, K36+1, 0)</f>
      </c>
      <c r="M36" s="24">
        <f>IF('List Ticket'!M36=1, L36+1, 0)</f>
      </c>
      <c r="N36" s="24">
        <f>IF('List Ticket'!N36=1, M36+1, 0)</f>
      </c>
      <c r="O36" s="24">
        <f>IF('List Ticket'!O36=1, N36+1, 0)</f>
      </c>
      <c r="P36" s="24">
        <f>IF('List Ticket'!P36=1, O36+1, 0)</f>
      </c>
      <c r="Q36" s="24">
        <f>IF('List Ticket'!Q36=1, P36+1, 0)</f>
      </c>
      <c r="R36" s="24">
        <f>IF('List Ticket'!R36=1, Q36+1, 0)</f>
      </c>
      <c r="S36" s="24">
        <f>IF('List Ticket'!S36=1, R36+1, 0)</f>
      </c>
      <c r="T36" s="24">
        <f>IF('List Ticket'!T36=1, S36+1, 0)</f>
      </c>
      <c r="U36" s="24">
        <f>IF('List Ticket'!U36=1, T36+1, 0)</f>
      </c>
      <c r="V36" s="24">
        <f>IF('List Ticket'!V36=1, U36+1, 0)</f>
      </c>
      <c r="W36" s="24">
        <f>IF('List Ticket'!W36=1, V36+1, 0)</f>
      </c>
      <c r="X36" s="24">
        <f>IF('List Ticket'!X36=1, W36+1, 0)</f>
      </c>
      <c r="Y36" s="24">
        <f>IF('List Ticket'!Y36=1, X36+1, 0)</f>
      </c>
      <c r="Z36" s="24">
        <f>IF('List Ticket'!Z36=1, Y36+1, 0)</f>
      </c>
      <c r="AA36" s="27">
        <f>SUM(C36:Z36)</f>
      </c>
      <c r="AB36" s="39"/>
      <c r="AC36" s="39"/>
      <c r="AD36" s="39"/>
      <c r="AE36" s="39"/>
      <c r="AF36" s="39"/>
    </row>
    <row r="37">
      <c r="A37" s="6">
        <v>33</v>
      </c>
      <c r="B37" s="38" t="str">
        <v>messiLeo</v>
      </c>
      <c r="C37" s="29">
        <f>IF('List Ticket'!C37=1, 1, 0)</f>
      </c>
      <c r="D37" s="31">
        <f>IF('List Ticket'!D37=1, C37+1, 0)</f>
      </c>
      <c r="E37" s="24">
        <f>IF('List Ticket'!E37=1, D37+1, 0)</f>
      </c>
      <c r="F37" s="24">
        <f>IF('List Ticket'!F37=1, E37+1, 0)</f>
      </c>
      <c r="G37" s="24">
        <f>IF('List Ticket'!G37=1, F37+1, 0)</f>
      </c>
      <c r="H37" s="24">
        <f>IF('List Ticket'!H37=1, G37+1, 0)</f>
      </c>
      <c r="I37" s="24">
        <f>IF('List Ticket'!I37=1, H37+1, 0)</f>
      </c>
      <c r="J37" s="24">
        <f>IF('List Ticket'!J37=1, I37+1, 0)</f>
      </c>
      <c r="K37" s="24">
        <f>IF('List Ticket'!K37=1, J37+1, 0)</f>
      </c>
      <c r="L37" s="24">
        <f>IF('List Ticket'!L37=1, K37+1, 0)</f>
      </c>
      <c r="M37" s="24">
        <f>IF('List Ticket'!M37=1, L37+1, 0)</f>
      </c>
      <c r="N37" s="24">
        <f>IF('List Ticket'!N37=1, M37+1, 0)</f>
      </c>
      <c r="O37" s="24">
        <f>IF('List Ticket'!O37=1, N37+1, 0)</f>
      </c>
      <c r="P37" s="24">
        <f>IF('List Ticket'!P37=1, O37+1, 0)</f>
      </c>
      <c r="Q37" s="24">
        <f>IF('List Ticket'!Q37=1, P37+1, 0)</f>
      </c>
      <c r="R37" s="24">
        <f>IF('List Ticket'!R37=1, Q37+1, 0)</f>
      </c>
      <c r="S37" s="24">
        <f>IF('List Ticket'!S37=1, R37+1, 0)</f>
      </c>
      <c r="T37" s="24">
        <f>IF('List Ticket'!T37=1, S37+1, 0)</f>
      </c>
      <c r="U37" s="24">
        <f>IF('List Ticket'!U37=1, T37+1, 0)</f>
      </c>
      <c r="V37" s="24">
        <f>IF('List Ticket'!V37=1, U37+1, 0)</f>
      </c>
      <c r="W37" s="24">
        <f>IF('List Ticket'!W37=1, V37+1, 0)</f>
      </c>
      <c r="X37" s="24">
        <f>IF('List Ticket'!X37=1, W37+1, 0)</f>
      </c>
      <c r="Y37" s="24">
        <f>IF('List Ticket'!Y37=1, X37+1, 0)</f>
      </c>
      <c r="Z37" s="24">
        <f>IF('List Ticket'!Z37=1, Y37+1, 0)</f>
      </c>
      <c r="AA37" s="27">
        <f>SUM(C37:Z37)</f>
      </c>
      <c r="AB37" s="39"/>
      <c r="AC37" s="39"/>
      <c r="AD37" s="39"/>
      <c r="AE37" s="39"/>
      <c r="AF37" s="39"/>
    </row>
    <row r="38">
      <c r="A38" s="6">
        <v>34</v>
      </c>
      <c r="B38" s="38" t="str">
        <v>KepomponG✅</v>
      </c>
      <c r="C38" s="29">
        <f>IF('List Ticket'!C38=1, 1, 0)</f>
      </c>
      <c r="D38" s="31">
        <f>IF('List Ticket'!D38=1, C38+1, 0)</f>
      </c>
      <c r="E38" s="24">
        <f>IF('List Ticket'!E38=1, D38+1, 0)</f>
      </c>
      <c r="F38" s="24">
        <f>IF('List Ticket'!F38=1, E38+1, 0)</f>
      </c>
      <c r="G38" s="24">
        <f>IF('List Ticket'!G38=1, F38+1, 0)</f>
      </c>
      <c r="H38" s="24">
        <f>IF('List Ticket'!H38=1, G38+1, 0)</f>
      </c>
      <c r="I38" s="24">
        <f>IF('List Ticket'!I38=1, H38+1, 0)</f>
      </c>
      <c r="J38" s="24">
        <f>IF('List Ticket'!J38=1, I38+1, 0)</f>
      </c>
      <c r="K38" s="24">
        <f>IF('List Ticket'!K38=1, J38+1, 0)</f>
      </c>
      <c r="L38" s="24">
        <f>IF('List Ticket'!L38=1, K38+1, 0)</f>
      </c>
      <c r="M38" s="24">
        <f>IF('List Ticket'!M38=1, L38+1, 0)</f>
      </c>
      <c r="N38" s="24">
        <f>IF('List Ticket'!N38=1, M38+1, 0)</f>
      </c>
      <c r="O38" s="24">
        <f>IF('List Ticket'!O38=1, N38+1, 0)</f>
      </c>
      <c r="P38" s="24">
        <f>IF('List Ticket'!P38=1, O38+1, 0)</f>
      </c>
      <c r="Q38" s="24">
        <f>IF('List Ticket'!Q38=1, P38+1, 0)</f>
      </c>
      <c r="R38" s="24">
        <f>IF('List Ticket'!R38=1, Q38+1, 0)</f>
      </c>
      <c r="S38" s="24">
        <f>IF('List Ticket'!S38=1, R38+1, 0)</f>
      </c>
      <c r="T38" s="24">
        <f>IF('List Ticket'!T38=1, S38+1, 0)</f>
      </c>
      <c r="U38" s="24">
        <f>IF('List Ticket'!U38=1, T38+1, 0)</f>
      </c>
      <c r="V38" s="24">
        <f>IF('List Ticket'!V38=1, U38+1, 0)</f>
      </c>
      <c r="W38" s="24">
        <f>IF('List Ticket'!W38=1, V38+1, 0)</f>
      </c>
      <c r="X38" s="24">
        <f>IF('List Ticket'!X38=1, W38+1, 0)</f>
      </c>
      <c r="Y38" s="24">
        <f>IF('List Ticket'!Y38=1, X38+1, 0)</f>
      </c>
      <c r="Z38" s="24">
        <f>IF('List Ticket'!Z38=1, Y38+1, 0)</f>
      </c>
      <c r="AA38" s="27">
        <f>SUM(C38:Z38)</f>
      </c>
      <c r="AB38" s="39"/>
      <c r="AC38" s="39"/>
      <c r="AD38" s="39"/>
      <c r="AE38" s="39"/>
      <c r="AF38" s="39"/>
    </row>
    <row r="39">
      <c r="A39" s="6">
        <v>35</v>
      </c>
      <c r="B39" s="38" t="str" xml:space="preserve">
        <v>Yuli </v>
      </c>
      <c r="C39" s="29">
        <f>IF('List Ticket'!C39=1, 1, 0)</f>
      </c>
      <c r="D39" s="31">
        <f>IF('List Ticket'!D39=1, C39+1, 0)</f>
      </c>
      <c r="E39" s="24">
        <f>IF('List Ticket'!E39=1, D39+1, 0)</f>
      </c>
      <c r="F39" s="24">
        <f>IF('List Ticket'!F39=1, E39+1, 0)</f>
      </c>
      <c r="G39" s="24">
        <f>IF('List Ticket'!G39=1, F39+1, 0)</f>
      </c>
      <c r="H39" s="24">
        <f>IF('List Ticket'!H39=1, G39+1, 0)</f>
      </c>
      <c r="I39" s="24">
        <f>IF('List Ticket'!I39=1, H39+1, 0)</f>
      </c>
      <c r="J39" s="24">
        <f>IF('List Ticket'!J39=1, I39+1, 0)</f>
      </c>
      <c r="K39" s="24">
        <f>IF('List Ticket'!K39=1, J39+1, 0)</f>
      </c>
      <c r="L39" s="24">
        <f>IF('List Ticket'!L39=1, K39+1, 0)</f>
      </c>
      <c r="M39" s="24">
        <f>IF('List Ticket'!M39=1, L39+1, 0)</f>
      </c>
      <c r="N39" s="24">
        <f>IF('List Ticket'!N39=1, M39+1, 0)</f>
      </c>
      <c r="O39" s="24">
        <f>IF('List Ticket'!O39=1, N39+1, 0)</f>
      </c>
      <c r="P39" s="24">
        <f>IF('List Ticket'!P39=1, O39+1, 0)</f>
      </c>
      <c r="Q39" s="24">
        <f>IF('List Ticket'!Q39=1, P39+1, 0)</f>
      </c>
      <c r="R39" s="24">
        <f>IF('List Ticket'!R39=1, Q39+1, 0)</f>
      </c>
      <c r="S39" s="24">
        <f>IF('List Ticket'!S39=1, R39+1, 0)</f>
      </c>
      <c r="T39" s="24">
        <f>IF('List Ticket'!T39=1, S39+1, 0)</f>
      </c>
      <c r="U39" s="24">
        <f>IF('List Ticket'!U39=1, T39+1, 0)</f>
      </c>
      <c r="V39" s="24">
        <f>IF('List Ticket'!V39=1, U39+1, 0)</f>
      </c>
      <c r="W39" s="24">
        <f>IF('List Ticket'!W39=1, V39+1, 0)</f>
      </c>
      <c r="X39" s="24">
        <f>IF('List Ticket'!X39=1, W39+1, 0)</f>
      </c>
      <c r="Y39" s="24">
        <f>IF('List Ticket'!Y39=1, X39+1, 0)</f>
      </c>
      <c r="Z39" s="24">
        <f>IF('List Ticket'!Z39=1, Y39+1, 0)</f>
      </c>
      <c r="AA39" s="27">
        <f>SUM(C39:Z39)</f>
      </c>
      <c r="AB39" s="39"/>
      <c r="AC39" s="39"/>
      <c r="AD39" s="39"/>
      <c r="AE39" s="39"/>
      <c r="AF39" s="39"/>
    </row>
    <row r="40">
      <c r="A40" s="6">
        <v>36</v>
      </c>
      <c r="B40" s="38" t="str">
        <v>GELPHY ✅</v>
      </c>
      <c r="C40" s="29">
        <f>IF('List Ticket'!C40=1, 1, 0)</f>
      </c>
      <c r="D40" s="31">
        <f>IF('List Ticket'!D40=1, C40+1, 0)</f>
      </c>
      <c r="E40" s="24">
        <f>IF('List Ticket'!E40=1, D40+1, 0)</f>
      </c>
      <c r="F40" s="24">
        <f>IF('List Ticket'!F40=1, E40+1, 0)</f>
      </c>
      <c r="G40" s="24">
        <f>IF('List Ticket'!G40=1, F40+1, 0)</f>
      </c>
      <c r="H40" s="24">
        <f>IF('List Ticket'!H40=1, G40+1, 0)</f>
      </c>
      <c r="I40" s="24">
        <f>IF('List Ticket'!I40=1, H40+1, 0)</f>
      </c>
      <c r="J40" s="24">
        <f>IF('List Ticket'!J40=1, I40+1, 0)</f>
      </c>
      <c r="K40" s="24">
        <f>IF('List Ticket'!K40=1, J40+1, 0)</f>
      </c>
      <c r="L40" s="24">
        <f>IF('List Ticket'!L40=1, K40+1, 0)</f>
      </c>
      <c r="M40" s="24">
        <f>IF('List Ticket'!M40=1, L40+1, 0)</f>
      </c>
      <c r="N40" s="24">
        <f>IF('List Ticket'!N40=1, M40+1, 0)</f>
      </c>
      <c r="O40" s="24">
        <f>IF('List Ticket'!O40=1, N40+1, 0)</f>
      </c>
      <c r="P40" s="24">
        <f>IF('List Ticket'!P40=1, O40+1, 0)</f>
      </c>
      <c r="Q40" s="24">
        <f>IF('List Ticket'!Q40=1, P40+1, 0)</f>
      </c>
      <c r="R40" s="24">
        <f>IF('List Ticket'!R40=1, Q40+1, 0)</f>
      </c>
      <c r="S40" s="24">
        <f>IF('List Ticket'!S40=1, R40+1, 0)</f>
      </c>
      <c r="T40" s="24">
        <f>IF('List Ticket'!T40=1, S40+1, 0)</f>
      </c>
      <c r="U40" s="24">
        <f>IF('List Ticket'!U40=1, T40+1, 0)</f>
      </c>
      <c r="V40" s="24">
        <f>IF('List Ticket'!V40=1, U40+1, 0)</f>
      </c>
      <c r="W40" s="24">
        <f>IF('List Ticket'!W40=1, V40+1, 0)</f>
      </c>
      <c r="X40" s="24">
        <f>IF('List Ticket'!X40=1, W40+1, 0)</f>
      </c>
      <c r="Y40" s="24">
        <f>IF('List Ticket'!Y40=1, X40+1, 0)</f>
      </c>
      <c r="Z40" s="24">
        <f>IF('List Ticket'!Z40=1, Y40+1, 0)</f>
      </c>
      <c r="AA40" s="27">
        <f>SUM(C40:Z40)</f>
      </c>
      <c r="AB40" s="39"/>
      <c r="AC40" s="39"/>
      <c r="AD40" s="39"/>
      <c r="AE40" s="39"/>
      <c r="AF40" s="39"/>
    </row>
    <row r="41">
      <c r="A41" s="6">
        <v>37</v>
      </c>
      <c r="B41" s="38" t="str">
        <v>Darso</v>
      </c>
      <c r="C41" s="29">
        <f>IF('List Ticket'!C41=1, 1, 0)</f>
      </c>
      <c r="D41" s="31">
        <f>IF('List Ticket'!D41=1, C41+1, 0)</f>
      </c>
      <c r="E41" s="24">
        <f>IF('List Ticket'!E41=1, D41+1, 0)</f>
      </c>
      <c r="F41" s="24">
        <f>IF('List Ticket'!F41=1, E41+1, 0)</f>
      </c>
      <c r="G41" s="24">
        <f>IF('List Ticket'!G41=1, F41+1, 0)</f>
      </c>
      <c r="H41" s="24">
        <f>IF('List Ticket'!H41=1, G41+1, 0)</f>
      </c>
      <c r="I41" s="24">
        <f>IF('List Ticket'!I41=1, H41+1, 0)</f>
      </c>
      <c r="J41" s="24">
        <f>IF('List Ticket'!J41=1, I41+1, 0)</f>
      </c>
      <c r="K41" s="24">
        <f>IF('List Ticket'!K41=1, J41+1, 0)</f>
      </c>
      <c r="L41" s="24">
        <f>IF('List Ticket'!L41=1, K41+1, 0)</f>
      </c>
      <c r="M41" s="24">
        <f>IF('List Ticket'!M41=1, L41+1, 0)</f>
      </c>
      <c r="N41" s="24">
        <f>IF('List Ticket'!N41=1, M41+1, 0)</f>
      </c>
      <c r="O41" s="24">
        <f>IF('List Ticket'!O41=1, N41+1, 0)</f>
      </c>
      <c r="P41" s="24">
        <f>IF('List Ticket'!P41=1, O41+1, 0)</f>
      </c>
      <c r="Q41" s="24">
        <f>IF('List Ticket'!Q41=1, P41+1, 0)</f>
      </c>
      <c r="R41" s="24">
        <f>IF('List Ticket'!R41=1, Q41+1, 0)</f>
      </c>
      <c r="S41" s="24">
        <f>IF('List Ticket'!S41=1, R41+1, 0)</f>
      </c>
      <c r="T41" s="24">
        <f>IF('List Ticket'!T41=1, S41+1, 0)</f>
      </c>
      <c r="U41" s="24">
        <f>IF('List Ticket'!U41=1, T41+1, 0)</f>
      </c>
      <c r="V41" s="24">
        <f>IF('List Ticket'!V41=1, U41+1, 0)</f>
      </c>
      <c r="W41" s="24">
        <f>IF('List Ticket'!W41=1, V41+1, 0)</f>
      </c>
      <c r="X41" s="24">
        <f>IF('List Ticket'!X41=1, W41+1, 0)</f>
      </c>
      <c r="Y41" s="24">
        <f>IF('List Ticket'!Y41=1, X41+1, 0)</f>
      </c>
      <c r="Z41" s="24">
        <f>IF('List Ticket'!Z41=1, Y41+1, 0)</f>
      </c>
      <c r="AA41" s="27">
        <f>SUM(C41:Z41)</f>
      </c>
      <c r="AB41" s="39"/>
      <c r="AC41" s="39"/>
      <c r="AD41" s="39"/>
      <c r="AE41" s="39"/>
      <c r="AF41" s="39"/>
    </row>
    <row r="42">
      <c r="A42" s="6">
        <v>38</v>
      </c>
      <c r="B42" s="38" t="str">
        <v>Zuna76</v>
      </c>
      <c r="C42" s="29">
        <f>IF('List Ticket'!C42=1, 1, 0)</f>
      </c>
      <c r="D42" s="31">
        <f>IF('List Ticket'!D42=1, C42+1, 0)</f>
      </c>
      <c r="E42" s="24">
        <f>IF('List Ticket'!E42=1, D42+1, 0)</f>
      </c>
      <c r="F42" s="24">
        <f>IF('List Ticket'!F42=1, E42+1, 0)</f>
      </c>
      <c r="G42" s="24">
        <f>IF('List Ticket'!G42=1, F42+1, 0)</f>
      </c>
      <c r="H42" s="24">
        <f>IF('List Ticket'!H42=1, G42+1, 0)</f>
      </c>
      <c r="I42" s="24">
        <f>IF('List Ticket'!I42=1, H42+1, 0)</f>
      </c>
      <c r="J42" s="24">
        <f>IF('List Ticket'!J42=1, I42+1, 0)</f>
      </c>
      <c r="K42" s="24">
        <f>IF('List Ticket'!K42=1, J42+1, 0)</f>
      </c>
      <c r="L42" s="24">
        <f>IF('List Ticket'!L42=1, K42+1, 0)</f>
      </c>
      <c r="M42" s="24">
        <f>IF('List Ticket'!M42=1, L42+1, 0)</f>
      </c>
      <c r="N42" s="24">
        <f>IF('List Ticket'!N42=1, M42+1, 0)</f>
      </c>
      <c r="O42" s="24">
        <f>IF('List Ticket'!O42=1, N42+1, 0)</f>
      </c>
      <c r="P42" s="24">
        <f>IF('List Ticket'!P42=1, O42+1, 0)</f>
      </c>
      <c r="Q42" s="24">
        <f>IF('List Ticket'!Q42=1, P42+1, 0)</f>
      </c>
      <c r="R42" s="24">
        <f>IF('List Ticket'!R42=1, Q42+1, 0)</f>
      </c>
      <c r="S42" s="24">
        <f>IF('List Ticket'!S42=1, R42+1, 0)</f>
      </c>
      <c r="T42" s="24">
        <f>IF('List Ticket'!T42=1, S42+1, 0)</f>
      </c>
      <c r="U42" s="24">
        <f>IF('List Ticket'!U42=1, T42+1, 0)</f>
      </c>
      <c r="V42" s="24">
        <f>IF('List Ticket'!V42=1, U42+1, 0)</f>
      </c>
      <c r="W42" s="24">
        <f>IF('List Ticket'!W42=1, V42+1, 0)</f>
      </c>
      <c r="X42" s="24">
        <f>IF('List Ticket'!X42=1, W42+1, 0)</f>
      </c>
      <c r="Y42" s="24">
        <f>IF('List Ticket'!Y42=1, X42+1, 0)</f>
      </c>
      <c r="Z42" s="24">
        <f>IF('List Ticket'!Z42=1, Y42+1, 0)</f>
      </c>
      <c r="AA42" s="27">
        <f>SUM(C42:Z42)</f>
      </c>
      <c r="AB42" s="39"/>
      <c r="AC42" s="39"/>
      <c r="AD42" s="39"/>
      <c r="AE42" s="39"/>
      <c r="AF42" s="39"/>
    </row>
    <row r="43">
      <c r="A43" s="6">
        <v>39</v>
      </c>
      <c r="B43" s="38" t="str">
        <v>peyeri1906</v>
      </c>
      <c r="C43" s="29">
        <f>IF('List Ticket'!C43=1, 1, 0)</f>
      </c>
      <c r="D43" s="31">
        <f>IF('List Ticket'!D43=1, C43+1, 0)</f>
      </c>
      <c r="E43" s="24">
        <f>IF('List Ticket'!E43=1, D43+1, 0)</f>
      </c>
      <c r="F43" s="24">
        <f>IF('List Ticket'!F43=1, E43+1, 0)</f>
      </c>
      <c r="G43" s="24">
        <f>IF('List Ticket'!G43=1, F43+1, 0)</f>
      </c>
      <c r="H43" s="24">
        <f>IF('List Ticket'!H43=1, G43+1, 0)</f>
      </c>
      <c r="I43" s="24">
        <f>IF('List Ticket'!I43=1, H43+1, 0)</f>
      </c>
      <c r="J43" s="24">
        <f>IF('List Ticket'!J43=1, I43+1, 0)</f>
      </c>
      <c r="K43" s="24">
        <f>IF('List Ticket'!K43=1, J43+1, 0)</f>
      </c>
      <c r="L43" s="24">
        <f>IF('List Ticket'!L43=1, K43+1, 0)</f>
      </c>
      <c r="M43" s="24">
        <f>IF('List Ticket'!M43=1, L43+1, 0)</f>
      </c>
      <c r="N43" s="24">
        <f>IF('List Ticket'!N43=1, M43+1, 0)</f>
      </c>
      <c r="O43" s="24">
        <f>IF('List Ticket'!O43=1, N43+1, 0)</f>
      </c>
      <c r="P43" s="24">
        <f>IF('List Ticket'!P43=1, O43+1, 0)</f>
      </c>
      <c r="Q43" s="24">
        <f>IF('List Ticket'!Q43=1, P43+1, 0)</f>
      </c>
      <c r="R43" s="24">
        <f>IF('List Ticket'!R43=1, Q43+1, 0)</f>
      </c>
      <c r="S43" s="24">
        <f>IF('List Ticket'!S43=1, R43+1, 0)</f>
      </c>
      <c r="T43" s="24">
        <f>IF('List Ticket'!T43=1, S43+1, 0)</f>
      </c>
      <c r="U43" s="24">
        <f>IF('List Ticket'!U43=1, T43+1, 0)</f>
      </c>
      <c r="V43" s="24">
        <f>IF('List Ticket'!V43=1, U43+1, 0)</f>
      </c>
      <c r="W43" s="24">
        <f>IF('List Ticket'!W43=1, V43+1, 0)</f>
      </c>
      <c r="X43" s="24">
        <f>IF('List Ticket'!X43=1, W43+1, 0)</f>
      </c>
      <c r="Y43" s="24">
        <f>IF('List Ticket'!Y43=1, X43+1, 0)</f>
      </c>
      <c r="Z43" s="24">
        <f>IF('List Ticket'!Z43=1, Y43+1, 0)</f>
      </c>
      <c r="AA43" s="27">
        <f>SUM(C43:Z43)</f>
      </c>
      <c r="AB43" s="39"/>
      <c r="AC43" s="39"/>
      <c r="AD43" s="39"/>
      <c r="AE43" s="39"/>
      <c r="AF43" s="39"/>
    </row>
    <row r="44">
      <c r="A44" s="6">
        <v>40</v>
      </c>
      <c r="B44" s="38" t="str">
        <v>Lani</v>
      </c>
      <c r="C44" s="29">
        <f>IF('List Ticket'!C44=1, 1, 0)</f>
      </c>
      <c r="D44" s="31">
        <f>IF('List Ticket'!D44=1, C44+1, 0)</f>
      </c>
      <c r="E44" s="24">
        <f>IF('List Ticket'!E44=1, D44+1, 0)</f>
      </c>
      <c r="F44" s="24">
        <f>IF('List Ticket'!F44=1, E44+1, 0)</f>
      </c>
      <c r="G44" s="24">
        <f>IF('List Ticket'!G44=1, F44+1, 0)</f>
      </c>
      <c r="H44" s="24">
        <f>IF('List Ticket'!H44=1, G44+1, 0)</f>
      </c>
      <c r="I44" s="24">
        <f>IF('List Ticket'!I44=1, H44+1, 0)</f>
      </c>
      <c r="J44" s="24">
        <f>IF('List Ticket'!J44=1, I44+1, 0)</f>
      </c>
      <c r="K44" s="24">
        <f>IF('List Ticket'!K44=1, J44+1, 0)</f>
      </c>
      <c r="L44" s="24">
        <f>IF('List Ticket'!L44=1, K44+1, 0)</f>
      </c>
      <c r="M44" s="24">
        <f>IF('List Ticket'!M44=1, L44+1, 0)</f>
      </c>
      <c r="N44" s="24">
        <f>IF('List Ticket'!N44=1, M44+1, 0)</f>
      </c>
      <c r="O44" s="24">
        <f>IF('List Ticket'!O44=1, N44+1, 0)</f>
      </c>
      <c r="P44" s="24">
        <f>IF('List Ticket'!P44=1, O44+1, 0)</f>
      </c>
      <c r="Q44" s="24">
        <f>IF('List Ticket'!Q44=1, P44+1, 0)</f>
      </c>
      <c r="R44" s="24">
        <f>IF('List Ticket'!R44=1, Q44+1, 0)</f>
      </c>
      <c r="S44" s="24">
        <f>IF('List Ticket'!S44=1, R44+1, 0)</f>
      </c>
      <c r="T44" s="24">
        <f>IF('List Ticket'!T44=1, S44+1, 0)</f>
      </c>
      <c r="U44" s="24">
        <f>IF('List Ticket'!U44=1, T44+1, 0)</f>
      </c>
      <c r="V44" s="24">
        <f>IF('List Ticket'!V44=1, U44+1, 0)</f>
      </c>
      <c r="W44" s="24">
        <f>IF('List Ticket'!W44=1, V44+1, 0)</f>
      </c>
      <c r="X44" s="24">
        <f>IF('List Ticket'!X44=1, W44+1, 0)</f>
      </c>
      <c r="Y44" s="24">
        <f>IF('List Ticket'!Y44=1, X44+1, 0)</f>
      </c>
      <c r="Z44" s="24">
        <f>IF('List Ticket'!Z44=1, Y44+1, 0)</f>
      </c>
      <c r="AA44" s="27">
        <f>SUM(C44:Z44)</f>
      </c>
      <c r="AB44" s="39"/>
      <c r="AC44" s="39"/>
      <c r="AD44" s="39"/>
      <c r="AE44" s="39"/>
      <c r="AF44" s="39"/>
    </row>
    <row r="45">
      <c r="A45" s="6">
        <v>41</v>
      </c>
      <c r="B45" s="38" t="str">
        <v>mytradding</v>
      </c>
      <c r="C45" s="29">
        <f>IF('List Ticket'!C45=1, 1, 0)</f>
      </c>
      <c r="D45" s="31">
        <f>IF('List Ticket'!D45=1, C45+1, 0)</f>
      </c>
      <c r="E45" s="24">
        <f>IF('List Ticket'!E45=1, D45+1, 0)</f>
      </c>
      <c r="F45" s="24">
        <f>IF('List Ticket'!F45=1, E45+1, 0)</f>
      </c>
      <c r="G45" s="24">
        <f>IF('List Ticket'!G45=1, F45+1, 0)</f>
      </c>
      <c r="H45" s="24">
        <f>IF('List Ticket'!H45=1, G45+1, 0)</f>
      </c>
      <c r="I45" s="24">
        <f>IF('List Ticket'!I45=1, H45+1, 0)</f>
      </c>
      <c r="J45" s="24">
        <f>IF('List Ticket'!J45=1, I45+1, 0)</f>
      </c>
      <c r="K45" s="24">
        <f>IF('List Ticket'!K45=1, J45+1, 0)</f>
      </c>
      <c r="L45" s="24">
        <f>IF('List Ticket'!L45=1, K45+1, 0)</f>
      </c>
      <c r="M45" s="24">
        <f>IF('List Ticket'!M45=1, L45+1, 0)</f>
      </c>
      <c r="N45" s="24">
        <f>IF('List Ticket'!N45=1, M45+1, 0)</f>
      </c>
      <c r="O45" s="24">
        <f>IF('List Ticket'!O45=1, N45+1, 0)</f>
      </c>
      <c r="P45" s="24">
        <f>IF('List Ticket'!P45=1, O45+1, 0)</f>
      </c>
      <c r="Q45" s="24">
        <f>IF('List Ticket'!Q45=1, P45+1, 0)</f>
      </c>
      <c r="R45" s="24">
        <f>IF('List Ticket'!R45=1, Q45+1, 0)</f>
      </c>
      <c r="S45" s="24">
        <f>IF('List Ticket'!S45=1, R45+1, 0)</f>
      </c>
      <c r="T45" s="24">
        <f>IF('List Ticket'!T45=1, S45+1, 0)</f>
      </c>
      <c r="U45" s="24">
        <f>IF('List Ticket'!U45=1, T45+1, 0)</f>
      </c>
      <c r="V45" s="24">
        <f>IF('List Ticket'!V45=1, U45+1, 0)</f>
      </c>
      <c r="W45" s="24">
        <f>IF('List Ticket'!W45=1, V45+1, 0)</f>
      </c>
      <c r="X45" s="24">
        <f>IF('List Ticket'!X45=1, W45+1, 0)</f>
      </c>
      <c r="Y45" s="24">
        <f>IF('List Ticket'!Y45=1, X45+1, 0)</f>
      </c>
      <c r="Z45" s="24">
        <f>IF('List Ticket'!Z45=1, Y45+1, 0)</f>
      </c>
      <c r="AA45" s="27">
        <f>SUM(C45:Z45)</f>
      </c>
      <c r="AB45" s="39"/>
      <c r="AC45" s="39"/>
      <c r="AD45" s="39"/>
      <c r="AE45" s="39"/>
      <c r="AF45" s="39"/>
    </row>
    <row r="46">
      <c r="A46" s="6">
        <v>42</v>
      </c>
      <c r="B46" s="38" t="str">
        <v>Bejo09</v>
      </c>
      <c r="C46" s="29">
        <f>IF('List Ticket'!C46=1, 1, 0)</f>
      </c>
      <c r="D46" s="31">
        <f>IF('List Ticket'!D46=1, C46+1, 0)</f>
      </c>
      <c r="E46" s="24">
        <f>IF('List Ticket'!E46=1, D46+1, 0)</f>
      </c>
      <c r="F46" s="24">
        <f>IF('List Ticket'!F46=1, E46+1, 0)</f>
      </c>
      <c r="G46" s="24">
        <f>IF('List Ticket'!G46=1, F46+1, 0)</f>
      </c>
      <c r="H46" s="24">
        <f>IF('List Ticket'!H46=1, G46+1, 0)</f>
      </c>
      <c r="I46" s="24">
        <f>IF('List Ticket'!I46=1, H46+1, 0)</f>
      </c>
      <c r="J46" s="24">
        <f>IF('List Ticket'!J46=1, I46+1, 0)</f>
      </c>
      <c r="K46" s="24">
        <f>IF('List Ticket'!K46=1, J46+1, 0)</f>
      </c>
      <c r="L46" s="24">
        <f>IF('List Ticket'!L46=1, K46+1, 0)</f>
      </c>
      <c r="M46" s="24">
        <f>IF('List Ticket'!M46=1, L46+1, 0)</f>
      </c>
      <c r="N46" s="24">
        <f>IF('List Ticket'!N46=1, M46+1, 0)</f>
      </c>
      <c r="O46" s="24">
        <f>IF('List Ticket'!O46=1, N46+1, 0)</f>
      </c>
      <c r="P46" s="24">
        <f>IF('List Ticket'!P46=1, O46+1, 0)</f>
      </c>
      <c r="Q46" s="24">
        <f>IF('List Ticket'!Q46=1, P46+1, 0)</f>
      </c>
      <c r="R46" s="24">
        <f>IF('List Ticket'!R46=1, Q46+1, 0)</f>
      </c>
      <c r="S46" s="24">
        <f>IF('List Ticket'!S46=1, R46+1, 0)</f>
      </c>
      <c r="T46" s="24">
        <f>IF('List Ticket'!T46=1, S46+1, 0)</f>
      </c>
      <c r="U46" s="24">
        <f>IF('List Ticket'!U46=1, T46+1, 0)</f>
      </c>
      <c r="V46" s="24">
        <f>IF('List Ticket'!V46=1, U46+1, 0)</f>
      </c>
      <c r="W46" s="24">
        <f>IF('List Ticket'!W46=1, V46+1, 0)</f>
      </c>
      <c r="X46" s="24">
        <f>IF('List Ticket'!X46=1, W46+1, 0)</f>
      </c>
      <c r="Y46" s="24">
        <f>IF('List Ticket'!Y46=1, X46+1, 0)</f>
      </c>
      <c r="Z46" s="24">
        <f>IF('List Ticket'!Z46=1, Y46+1, 0)</f>
      </c>
      <c r="AA46" s="27">
        <f>SUM(C46:Z46)</f>
      </c>
      <c r="AB46" s="39"/>
      <c r="AC46" s="39"/>
      <c r="AD46" s="39"/>
      <c r="AE46" s="39"/>
      <c r="AF46" s="39"/>
    </row>
    <row r="47">
      <c r="A47" s="6">
        <v>43</v>
      </c>
      <c r="B47" s="38" t="str" xml:space="preserve">
        <v>FAAHAS </v>
      </c>
      <c r="C47" s="29">
        <f>IF('List Ticket'!C47=1, 1, 0)</f>
      </c>
      <c r="D47" s="31">
        <f>IF('List Ticket'!D47=1, C47+1, 0)</f>
      </c>
      <c r="E47" s="24">
        <f>IF('List Ticket'!E47=1, D47+1, 0)</f>
      </c>
      <c r="F47" s="24">
        <f>IF('List Ticket'!F47=1, E47+1, 0)</f>
      </c>
      <c r="G47" s="24">
        <f>IF('List Ticket'!G47=1, F47+1, 0)</f>
      </c>
      <c r="H47" s="24">
        <f>IF('List Ticket'!H47=1, G47+1, 0)</f>
      </c>
      <c r="I47" s="24">
        <f>IF('List Ticket'!I47=1, H47+1, 0)</f>
      </c>
      <c r="J47" s="24">
        <f>IF('List Ticket'!J47=1, I47+1, 0)</f>
      </c>
      <c r="K47" s="24">
        <f>IF('List Ticket'!K47=1, J47+1, 0)</f>
      </c>
      <c r="L47" s="24">
        <f>IF('List Ticket'!L47=1, K47+1, 0)</f>
      </c>
      <c r="M47" s="24">
        <f>IF('List Ticket'!M47=1, L47+1, 0)</f>
      </c>
      <c r="N47" s="24">
        <f>IF('List Ticket'!N47=1, M47+1, 0)</f>
      </c>
      <c r="O47" s="24">
        <f>IF('List Ticket'!O47=1, N47+1, 0)</f>
      </c>
      <c r="P47" s="24">
        <f>IF('List Ticket'!P47=1, O47+1, 0)</f>
      </c>
      <c r="Q47" s="24">
        <f>IF('List Ticket'!Q47=1, P47+1, 0)</f>
      </c>
      <c r="R47" s="24">
        <f>IF('List Ticket'!R47=1, Q47+1, 0)</f>
      </c>
      <c r="S47" s="24">
        <f>IF('List Ticket'!S47=1, R47+1, 0)</f>
      </c>
      <c r="T47" s="24">
        <f>IF('List Ticket'!T47=1, S47+1, 0)</f>
      </c>
      <c r="U47" s="24">
        <f>IF('List Ticket'!U47=1, T47+1, 0)</f>
      </c>
      <c r="V47" s="24">
        <f>IF('List Ticket'!V47=1, U47+1, 0)</f>
      </c>
      <c r="W47" s="24">
        <f>IF('List Ticket'!W47=1, V47+1, 0)</f>
      </c>
      <c r="X47" s="24">
        <f>IF('List Ticket'!X47=1, W47+1, 0)</f>
      </c>
      <c r="Y47" s="24">
        <f>IF('List Ticket'!Y47=1, X47+1, 0)</f>
      </c>
      <c r="Z47" s="24">
        <f>IF('List Ticket'!Z47=1, Y47+1, 0)</f>
      </c>
      <c r="AA47" s="27">
        <f>SUM(C47:Z47)</f>
      </c>
      <c r="AB47" s="39"/>
      <c r="AC47" s="39"/>
      <c r="AD47" s="39"/>
      <c r="AE47" s="39"/>
      <c r="AF47" s="39"/>
    </row>
    <row r="48">
      <c r="A48" s="6">
        <v>44</v>
      </c>
      <c r="B48" s="38" t="str">
        <v>Mr.Eko</v>
      </c>
      <c r="C48" s="29">
        <f>IF('List Ticket'!C48=1, 1, 0)</f>
      </c>
      <c r="D48" s="31">
        <f>IF('List Ticket'!D48=1, C48+1, 0)</f>
      </c>
      <c r="E48" s="24">
        <f>IF('List Ticket'!E48=1, D48+1, 0)</f>
      </c>
      <c r="F48" s="24">
        <f>IF('List Ticket'!F48=1, E48+1, 0)</f>
      </c>
      <c r="G48" s="24">
        <f>IF('List Ticket'!G48=1, F48+1, 0)</f>
      </c>
      <c r="H48" s="24">
        <f>IF('List Ticket'!H48=1, G48+1, 0)</f>
      </c>
      <c r="I48" s="24">
        <f>IF('List Ticket'!I48=1, H48+1, 0)</f>
      </c>
      <c r="J48" s="24">
        <f>IF('List Ticket'!J48=1, I48+1, 0)</f>
      </c>
      <c r="K48" s="24">
        <f>IF('List Ticket'!K48=1, J48+1, 0)</f>
      </c>
      <c r="L48" s="24">
        <f>IF('List Ticket'!L48=1, K48+1, 0)</f>
      </c>
      <c r="M48" s="24">
        <f>IF('List Ticket'!M48=1, L48+1, 0)</f>
      </c>
      <c r="N48" s="24">
        <f>IF('List Ticket'!N48=1, M48+1, 0)</f>
      </c>
      <c r="O48" s="24">
        <f>IF('List Ticket'!O48=1, N48+1, 0)</f>
      </c>
      <c r="P48" s="24">
        <f>IF('List Ticket'!P48=1, O48+1, 0)</f>
      </c>
      <c r="Q48" s="24">
        <f>IF('List Ticket'!Q48=1, P48+1, 0)</f>
      </c>
      <c r="R48" s="24">
        <f>IF('List Ticket'!R48=1, Q48+1, 0)</f>
      </c>
      <c r="S48" s="24">
        <f>IF('List Ticket'!S48=1, R48+1, 0)</f>
      </c>
      <c r="T48" s="24">
        <f>IF('List Ticket'!T48=1, S48+1, 0)</f>
      </c>
      <c r="U48" s="24">
        <f>IF('List Ticket'!U48=1, T48+1, 0)</f>
      </c>
      <c r="V48" s="24">
        <f>IF('List Ticket'!V48=1, U48+1, 0)</f>
      </c>
      <c r="W48" s="24">
        <f>IF('List Ticket'!W48=1, V48+1, 0)</f>
      </c>
      <c r="X48" s="24">
        <f>IF('List Ticket'!X48=1, W48+1, 0)</f>
      </c>
      <c r="Y48" s="24">
        <f>IF('List Ticket'!Y48=1, X48+1, 0)</f>
      </c>
      <c r="Z48" s="24">
        <f>IF('List Ticket'!Z48=1, Y48+1, 0)</f>
      </c>
      <c r="AA48" s="27">
        <f>SUM(C48:Z48)</f>
      </c>
      <c r="AB48" s="39"/>
      <c r="AC48" s="39"/>
      <c r="AD48" s="39"/>
      <c r="AE48" s="39"/>
      <c r="AF48" s="39"/>
    </row>
    <row r="49">
      <c r="A49" s="6">
        <v>45</v>
      </c>
      <c r="B49" s="38" t="str">
        <v>ernaeky788</v>
      </c>
      <c r="C49" s="29">
        <f>IF('List Ticket'!C49=1, 1, 0)</f>
      </c>
      <c r="D49" s="31">
        <f>IF('List Ticket'!D49=1, C49+1, 0)</f>
      </c>
      <c r="E49" s="24">
        <f>IF('List Ticket'!E49=1, D49+1, 0)</f>
      </c>
      <c r="F49" s="24">
        <f>IF('List Ticket'!F49=1, E49+1, 0)</f>
      </c>
      <c r="G49" s="24">
        <f>IF('List Ticket'!G49=1, F49+1, 0)</f>
      </c>
      <c r="H49" s="24">
        <f>IF('List Ticket'!H49=1, G49+1, 0)</f>
      </c>
      <c r="I49" s="24">
        <f>IF('List Ticket'!I49=1, H49+1, 0)</f>
      </c>
      <c r="J49" s="24">
        <f>IF('List Ticket'!J49=1, I49+1, 0)</f>
      </c>
      <c r="K49" s="24">
        <f>IF('List Ticket'!K49=1, J49+1, 0)</f>
      </c>
      <c r="L49" s="24">
        <f>IF('List Ticket'!L49=1, K49+1, 0)</f>
      </c>
      <c r="M49" s="24">
        <f>IF('List Ticket'!M49=1, L49+1, 0)</f>
      </c>
      <c r="N49" s="24">
        <f>IF('List Ticket'!N49=1, M49+1, 0)</f>
      </c>
      <c r="O49" s="24">
        <f>IF('List Ticket'!O49=1, N49+1, 0)</f>
      </c>
      <c r="P49" s="24">
        <f>IF('List Ticket'!P49=1, O49+1, 0)</f>
      </c>
      <c r="Q49" s="24">
        <f>IF('List Ticket'!Q49=1, P49+1, 0)</f>
      </c>
      <c r="R49" s="24">
        <f>IF('List Ticket'!R49=1, Q49+1, 0)</f>
      </c>
      <c r="S49" s="24">
        <f>IF('List Ticket'!S49=1, R49+1, 0)</f>
      </c>
      <c r="T49" s="24">
        <f>IF('List Ticket'!T49=1, S49+1, 0)</f>
      </c>
      <c r="U49" s="24">
        <f>IF('List Ticket'!U49=1, T49+1, 0)</f>
      </c>
      <c r="V49" s="24">
        <f>IF('List Ticket'!V49=1, U49+1, 0)</f>
      </c>
      <c r="W49" s="24">
        <f>IF('List Ticket'!W49=1, V49+1, 0)</f>
      </c>
      <c r="X49" s="24">
        <f>IF('List Ticket'!X49=1, W49+1, 0)</f>
      </c>
      <c r="Y49" s="24">
        <f>IF('List Ticket'!Y49=1, X49+1, 0)</f>
      </c>
      <c r="Z49" s="24">
        <f>IF('List Ticket'!Z49=1, Y49+1, 0)</f>
      </c>
      <c r="AA49" s="27">
        <f>SUM(C49:Z49)</f>
      </c>
      <c r="AB49" s="39"/>
      <c r="AC49" s="39"/>
      <c r="AD49" s="39"/>
      <c r="AE49" s="39"/>
      <c r="AF49" s="39"/>
    </row>
    <row r="50">
      <c r="A50" s="6">
        <v>46</v>
      </c>
      <c r="B50" s="38" t="str">
        <v>Cuan XRP</v>
      </c>
      <c r="C50" s="29">
        <f>IF('List Ticket'!C50=1, 1, 0)</f>
      </c>
      <c r="D50" s="31">
        <f>IF('List Ticket'!D50=1, C50+1, 0)</f>
      </c>
      <c r="E50" s="24">
        <f>IF('List Ticket'!E50=1, D50+1, 0)</f>
      </c>
      <c r="F50" s="24">
        <f>IF('List Ticket'!F50=1, E50+1, 0)</f>
      </c>
      <c r="G50" s="24">
        <f>IF('List Ticket'!G50=1, F50+1, 0)</f>
      </c>
      <c r="H50" s="24">
        <f>IF('List Ticket'!H50=1, G50+1, 0)</f>
      </c>
      <c r="I50" s="24">
        <f>IF('List Ticket'!I50=1, H50+1, 0)</f>
      </c>
      <c r="J50" s="24">
        <f>IF('List Ticket'!J50=1, I50+1, 0)</f>
      </c>
      <c r="K50" s="24">
        <f>IF('List Ticket'!K50=1, J50+1, 0)</f>
      </c>
      <c r="L50" s="24">
        <f>IF('List Ticket'!L50=1, K50+1, 0)</f>
      </c>
      <c r="M50" s="24">
        <f>IF('List Ticket'!M50=1, L50+1, 0)</f>
      </c>
      <c r="N50" s="24">
        <f>IF('List Ticket'!N50=1, M50+1, 0)</f>
      </c>
      <c r="O50" s="24">
        <f>IF('List Ticket'!O50=1, N50+1, 0)</f>
      </c>
      <c r="P50" s="24">
        <f>IF('List Ticket'!P50=1, O50+1, 0)</f>
      </c>
      <c r="Q50" s="24">
        <f>IF('List Ticket'!Q50=1, P50+1, 0)</f>
      </c>
      <c r="R50" s="24">
        <f>IF('List Ticket'!R50=1, Q50+1, 0)</f>
      </c>
      <c r="S50" s="24">
        <f>IF('List Ticket'!S50=1, R50+1, 0)</f>
      </c>
      <c r="T50" s="24">
        <f>IF('List Ticket'!T50=1, S50+1, 0)</f>
      </c>
      <c r="U50" s="24">
        <f>IF('List Ticket'!U50=1, T50+1, 0)</f>
      </c>
      <c r="V50" s="24">
        <f>IF('List Ticket'!V50=1, U50+1, 0)</f>
      </c>
      <c r="W50" s="24">
        <f>IF('List Ticket'!W50=1, V50+1, 0)</f>
      </c>
      <c r="X50" s="24">
        <f>IF('List Ticket'!X50=1, W50+1, 0)</f>
      </c>
      <c r="Y50" s="24">
        <f>IF('List Ticket'!Y50=1, X50+1, 0)</f>
      </c>
      <c r="Z50" s="24">
        <f>IF('List Ticket'!Z50=1, Y50+1, 0)</f>
      </c>
      <c r="AA50" s="27">
        <f>SUM(C50:Z50)</f>
      </c>
      <c r="AB50" s="39"/>
      <c r="AC50" s="39"/>
      <c r="AD50" s="39"/>
      <c r="AE50" s="39"/>
      <c r="AF50" s="39"/>
    </row>
    <row r="51">
      <c r="A51" s="6">
        <v>47</v>
      </c>
      <c r="B51" s="38" t="str">
        <v>MUHAMMAD NASRULLAH</v>
      </c>
      <c r="C51" s="29">
        <f>IF('List Ticket'!C51=1, 1, 0)</f>
      </c>
      <c r="D51" s="31">
        <f>IF('List Ticket'!D51=1, C51+1, 0)</f>
      </c>
      <c r="E51" s="24">
        <f>IF('List Ticket'!E51=1, D51+1, 0)</f>
      </c>
      <c r="F51" s="24">
        <f>IF('List Ticket'!F51=1, E51+1, 0)</f>
      </c>
      <c r="G51" s="24">
        <f>IF('List Ticket'!G51=1, F51+1, 0)</f>
      </c>
      <c r="H51" s="24">
        <f>IF('List Ticket'!H51=1, G51+1, 0)</f>
      </c>
      <c r="I51" s="24">
        <f>IF('List Ticket'!I51=1, H51+1, 0)</f>
      </c>
      <c r="J51" s="24">
        <f>IF('List Ticket'!J51=1, I51+1, 0)</f>
      </c>
      <c r="K51" s="24">
        <f>IF('List Ticket'!K51=1, J51+1, 0)</f>
      </c>
      <c r="L51" s="24">
        <f>IF('List Ticket'!L51=1, K51+1, 0)</f>
      </c>
      <c r="M51" s="24">
        <f>IF('List Ticket'!M51=1, L51+1, 0)</f>
      </c>
      <c r="N51" s="24">
        <f>IF('List Ticket'!N51=1, M51+1, 0)</f>
      </c>
      <c r="O51" s="24">
        <f>IF('List Ticket'!O51=1, N51+1, 0)</f>
      </c>
      <c r="P51" s="24">
        <f>IF('List Ticket'!P51=1, O51+1, 0)</f>
      </c>
      <c r="Q51" s="24">
        <f>IF('List Ticket'!Q51=1, P51+1, 0)</f>
      </c>
      <c r="R51" s="24">
        <f>IF('List Ticket'!R51=1, Q51+1, 0)</f>
      </c>
      <c r="S51" s="24">
        <f>IF('List Ticket'!S51=1, R51+1, 0)</f>
      </c>
      <c r="T51" s="24">
        <f>IF('List Ticket'!T51=1, S51+1, 0)</f>
      </c>
      <c r="U51" s="24">
        <f>IF('List Ticket'!U51=1, T51+1, 0)</f>
      </c>
      <c r="V51" s="24">
        <f>IF('List Ticket'!V51=1, U51+1, 0)</f>
      </c>
      <c r="W51" s="24">
        <f>IF('List Ticket'!W51=1, V51+1, 0)</f>
      </c>
      <c r="X51" s="24">
        <f>IF('List Ticket'!X51=1, W51+1, 0)</f>
      </c>
      <c r="Y51" s="24">
        <f>IF('List Ticket'!Y51=1, X51+1, 0)</f>
      </c>
      <c r="Z51" s="24">
        <f>IF('List Ticket'!Z51=1, Y51+1, 0)</f>
      </c>
      <c r="AA51" s="27">
        <f>SUM(C51:Z51)</f>
      </c>
      <c r="AB51" s="39"/>
      <c r="AC51" s="39"/>
      <c r="AD51" s="39"/>
      <c r="AE51" s="39"/>
      <c r="AF51" s="39"/>
    </row>
    <row r="52">
      <c r="A52" s="6">
        <v>48</v>
      </c>
      <c r="B52" s="38" t="str">
        <v>Tjoei Lan</v>
      </c>
      <c r="C52" s="29">
        <f>IF('List Ticket'!C52=1, 1, 0)</f>
      </c>
      <c r="D52" s="31">
        <f>IF('List Ticket'!D52=1, C52+1, 0)</f>
      </c>
      <c r="E52" s="24">
        <f>IF('List Ticket'!E52=1, D52+1, 0)</f>
      </c>
      <c r="F52" s="24">
        <f>IF('List Ticket'!F52=1, E52+1, 0)</f>
      </c>
      <c r="G52" s="24">
        <f>IF('List Ticket'!G52=1, F52+1, 0)</f>
      </c>
      <c r="H52" s="24">
        <f>IF('List Ticket'!H52=1, G52+1, 0)</f>
      </c>
      <c r="I52" s="24">
        <f>IF('List Ticket'!I52=1, H52+1, 0)</f>
      </c>
      <c r="J52" s="24">
        <f>IF('List Ticket'!J52=1, I52+1, 0)</f>
      </c>
      <c r="K52" s="24">
        <f>IF('List Ticket'!K52=1, J52+1, 0)</f>
      </c>
      <c r="L52" s="24">
        <f>IF('List Ticket'!L52=1, K52+1, 0)</f>
      </c>
      <c r="M52" s="24">
        <f>IF('List Ticket'!M52=1, L52+1, 0)</f>
      </c>
      <c r="N52" s="24">
        <f>IF('List Ticket'!N52=1, M52+1, 0)</f>
      </c>
      <c r="O52" s="24">
        <f>IF('List Ticket'!O52=1, N52+1, 0)</f>
      </c>
      <c r="P52" s="24">
        <f>IF('List Ticket'!P52=1, O52+1, 0)</f>
      </c>
      <c r="Q52" s="24">
        <f>IF('List Ticket'!Q52=1, P52+1, 0)</f>
      </c>
      <c r="R52" s="24">
        <f>IF('List Ticket'!R52=1, Q52+1, 0)</f>
      </c>
      <c r="S52" s="24">
        <f>IF('List Ticket'!S52=1, R52+1, 0)</f>
      </c>
      <c r="T52" s="24">
        <f>IF('List Ticket'!T52=1, S52+1, 0)</f>
      </c>
      <c r="U52" s="24">
        <f>IF('List Ticket'!U52=1, T52+1, 0)</f>
      </c>
      <c r="V52" s="24">
        <f>IF('List Ticket'!V52=1, U52+1, 0)</f>
      </c>
      <c r="W52" s="24">
        <f>IF('List Ticket'!W52=1, V52+1, 0)</f>
      </c>
      <c r="X52" s="24">
        <f>IF('List Ticket'!X52=1, W52+1, 0)</f>
      </c>
      <c r="Y52" s="24">
        <f>IF('List Ticket'!Y52=1, X52+1, 0)</f>
      </c>
      <c r="Z52" s="24">
        <f>IF('List Ticket'!Z52=1, Y52+1, 0)</f>
      </c>
      <c r="AA52" s="27">
        <f>SUM(C52:Z52)</f>
      </c>
      <c r="AB52" s="39"/>
      <c r="AC52" s="39"/>
      <c r="AD52" s="39"/>
      <c r="AE52" s="39"/>
      <c r="AF52" s="39"/>
    </row>
    <row r="53">
      <c r="A53" s="6">
        <v>49</v>
      </c>
      <c r="B53" s="38" t="str">
        <v>Syamsultan</v>
      </c>
      <c r="C53" s="29">
        <f>IF('List Ticket'!C53=1, 1, 0)</f>
      </c>
      <c r="D53" s="31">
        <f>IF('List Ticket'!D53=1, C53+1, 0)</f>
      </c>
      <c r="E53" s="24">
        <f>IF('List Ticket'!E53=1, D53+1, 0)</f>
      </c>
      <c r="F53" s="24">
        <f>IF('List Ticket'!F53=1, E53+1, 0)</f>
      </c>
      <c r="G53" s="24">
        <f>IF('List Ticket'!G53=1, F53+1, 0)</f>
      </c>
      <c r="H53" s="24">
        <f>IF('List Ticket'!H53=1, G53+1, 0)</f>
      </c>
      <c r="I53" s="24">
        <f>IF('List Ticket'!I53=1, H53+1, 0)</f>
      </c>
      <c r="J53" s="24">
        <f>IF('List Ticket'!J53=1, I53+1, 0)</f>
      </c>
      <c r="K53" s="24">
        <f>IF('List Ticket'!K53=1, J53+1, 0)</f>
      </c>
      <c r="L53" s="24">
        <f>IF('List Ticket'!L53=1, K53+1, 0)</f>
      </c>
      <c r="M53" s="24">
        <f>IF('List Ticket'!M53=1, L53+1, 0)</f>
      </c>
      <c r="N53" s="24">
        <f>IF('List Ticket'!N53=1, M53+1, 0)</f>
      </c>
      <c r="O53" s="24">
        <f>IF('List Ticket'!O53=1, N53+1, 0)</f>
      </c>
      <c r="P53" s="24">
        <f>IF('List Ticket'!P53=1, O53+1, 0)</f>
      </c>
      <c r="Q53" s="24">
        <f>IF('List Ticket'!Q53=1, P53+1, 0)</f>
      </c>
      <c r="R53" s="24">
        <f>IF('List Ticket'!R53=1, Q53+1, 0)</f>
      </c>
      <c r="S53" s="24">
        <f>IF('List Ticket'!S53=1, R53+1, 0)</f>
      </c>
      <c r="T53" s="24">
        <f>IF('List Ticket'!T53=1, S53+1, 0)</f>
      </c>
      <c r="U53" s="24">
        <f>IF('List Ticket'!U53=1, T53+1, 0)</f>
      </c>
      <c r="V53" s="24">
        <f>IF('List Ticket'!V53=1, U53+1, 0)</f>
      </c>
      <c r="W53" s="24">
        <f>IF('List Ticket'!W53=1, V53+1, 0)</f>
      </c>
      <c r="X53" s="24">
        <f>IF('List Ticket'!X53=1, W53+1, 0)</f>
      </c>
      <c r="Y53" s="24">
        <f>IF('List Ticket'!Y53=1, X53+1, 0)</f>
      </c>
      <c r="Z53" s="24">
        <f>IF('List Ticket'!Z53=1, Y53+1, 0)</f>
      </c>
      <c r="AA53" s="27">
        <f>SUM(C53:Z53)</f>
      </c>
      <c r="AB53" s="39"/>
      <c r="AC53" s="39"/>
      <c r="AD53" s="39"/>
      <c r="AE53" s="39"/>
      <c r="AF53" s="39"/>
    </row>
    <row r="54">
      <c r="A54" s="6">
        <v>50</v>
      </c>
      <c r="B54" s="38" t="str">
        <v>INDRAWAN</v>
      </c>
      <c r="C54" s="29">
        <f>IF('List Ticket'!C54=1, 1, 0)</f>
      </c>
      <c r="D54" s="31">
        <f>IF('List Ticket'!D54=1, C54+1, 0)</f>
      </c>
      <c r="E54" s="24">
        <f>IF('List Ticket'!E54=1, D54+1, 0)</f>
      </c>
      <c r="F54" s="24">
        <f>IF('List Ticket'!F54=1, E54+1, 0)</f>
      </c>
      <c r="G54" s="24">
        <f>IF('List Ticket'!G54=1, F54+1, 0)</f>
      </c>
      <c r="H54" s="24">
        <f>IF('List Ticket'!H54=1, G54+1, 0)</f>
      </c>
      <c r="I54" s="24">
        <f>IF('List Ticket'!I54=1, H54+1, 0)</f>
      </c>
      <c r="J54" s="24">
        <f>IF('List Ticket'!J54=1, I54+1, 0)</f>
      </c>
      <c r="K54" s="24">
        <f>IF('List Ticket'!K54=1, J54+1, 0)</f>
      </c>
      <c r="L54" s="24">
        <f>IF('List Ticket'!L54=1, K54+1, 0)</f>
      </c>
      <c r="M54" s="24">
        <f>IF('List Ticket'!M54=1, L54+1, 0)</f>
      </c>
      <c r="N54" s="24">
        <f>IF('List Ticket'!N54=1, M54+1, 0)</f>
      </c>
      <c r="O54" s="24">
        <f>IF('List Ticket'!O54=1, N54+1, 0)</f>
      </c>
      <c r="P54" s="24">
        <f>IF('List Ticket'!P54=1, O54+1, 0)</f>
      </c>
      <c r="Q54" s="24">
        <f>IF('List Ticket'!Q54=1, P54+1, 0)</f>
      </c>
      <c r="R54" s="24">
        <f>IF('List Ticket'!R54=1, Q54+1, 0)</f>
      </c>
      <c r="S54" s="24">
        <f>IF('List Ticket'!S54=1, R54+1, 0)</f>
      </c>
      <c r="T54" s="24">
        <f>IF('List Ticket'!T54=1, S54+1, 0)</f>
      </c>
      <c r="U54" s="24">
        <f>IF('List Ticket'!U54=1, T54+1, 0)</f>
      </c>
      <c r="V54" s="24">
        <f>IF('List Ticket'!V54=1, U54+1, 0)</f>
      </c>
      <c r="W54" s="24">
        <f>IF('List Ticket'!W54=1, V54+1, 0)</f>
      </c>
      <c r="X54" s="24">
        <f>IF('List Ticket'!X54=1, W54+1, 0)</f>
      </c>
      <c r="Y54" s="24">
        <f>IF('List Ticket'!Y54=1, X54+1, 0)</f>
      </c>
      <c r="Z54" s="24">
        <f>IF('List Ticket'!Z54=1, Y54+1, 0)</f>
      </c>
      <c r="AA54" s="27">
        <f>SUM(C54:Z54)</f>
      </c>
      <c r="AB54" s="39"/>
      <c r="AC54" s="39"/>
      <c r="AD54" s="39"/>
      <c r="AE54" s="39"/>
      <c r="AF54" s="39"/>
    </row>
    <row r="55">
      <c r="A55" s="6">
        <v>51</v>
      </c>
      <c r="B55" s="38"/>
      <c r="C55" s="29">
        <f>IF('List Ticket'!C55=1, 1, 0)</f>
      </c>
      <c r="D55" s="31">
        <f>IF('List Ticket'!D55=1, C55+1, 0)</f>
      </c>
      <c r="E55" s="24">
        <f>IF('List Ticket'!E55=1, D55+1, 0)</f>
      </c>
      <c r="F55" s="24">
        <f>IF('List Ticket'!F55=1, E55+1, 0)</f>
      </c>
      <c r="G55" s="24">
        <f>IF('List Ticket'!G55=1, F55+1, 0)</f>
      </c>
      <c r="H55" s="24">
        <f>IF('List Ticket'!H55=1, G55+1, 0)</f>
      </c>
      <c r="I55" s="24">
        <f>IF('List Ticket'!I55=1, H55+1, 0)</f>
      </c>
      <c r="J55" s="24">
        <f>IF('List Ticket'!J55=1, I55+1, 0)</f>
      </c>
      <c r="K55" s="24">
        <f>IF('List Ticket'!K55=1, J55+1, 0)</f>
      </c>
      <c r="L55" s="24">
        <f>IF('List Ticket'!L55=1, K55+1, 0)</f>
      </c>
      <c r="M55" s="24">
        <f>IF('List Ticket'!M55=1, L55+1, 0)</f>
      </c>
      <c r="N55" s="24">
        <f>IF('List Ticket'!N55=1, M55+1, 0)</f>
      </c>
      <c r="O55" s="24">
        <f>IF('List Ticket'!O55=1, N55+1, 0)</f>
      </c>
      <c r="P55" s="24">
        <f>IF('List Ticket'!P55=1, O55+1, 0)</f>
      </c>
      <c r="Q55" s="24">
        <f>IF('List Ticket'!Q55=1, P55+1, 0)</f>
      </c>
      <c r="R55" s="24">
        <f>IF('List Ticket'!R55=1, Q55+1, 0)</f>
      </c>
      <c r="S55" s="24">
        <f>IF('List Ticket'!S55=1, R55+1, 0)</f>
      </c>
      <c r="T55" s="24">
        <f>IF('List Ticket'!T55=1, S55+1, 0)</f>
      </c>
      <c r="U55" s="24">
        <f>IF('List Ticket'!U55=1, T55+1, 0)</f>
      </c>
      <c r="V55" s="24">
        <f>IF('List Ticket'!V55=1, U55+1, 0)</f>
      </c>
      <c r="W55" s="24">
        <f>IF('List Ticket'!W55=1, V55+1, 0)</f>
      </c>
      <c r="X55" s="24">
        <f>IF('List Ticket'!X55=1, W55+1, 0)</f>
      </c>
      <c r="Y55" s="24">
        <f>IF('List Ticket'!Y55=1, X55+1, 0)</f>
      </c>
      <c r="Z55" s="24">
        <f>IF('List Ticket'!Z55=1, Y55+1, 0)</f>
      </c>
      <c r="AA55" s="27">
        <f>SUM(C55:Z55)</f>
      </c>
      <c r="AB55" s="39"/>
      <c r="AC55" s="39"/>
      <c r="AD55" s="39"/>
      <c r="AE55" s="39"/>
      <c r="AF55" s="39"/>
    </row>
    <row r="56">
      <c r="A56" s="6">
        <v>52</v>
      </c>
      <c r="B56" s="38"/>
      <c r="C56" s="29">
        <f>IF('List Ticket'!C56=1, 1, 0)</f>
      </c>
      <c r="D56" s="31">
        <f>IF('List Ticket'!D56=1, C56+1, 0)</f>
      </c>
      <c r="E56" s="24">
        <f>IF('List Ticket'!E56=1, D56+1, 0)</f>
      </c>
      <c r="F56" s="24">
        <f>IF('List Ticket'!F56=1, E56+1, 0)</f>
      </c>
      <c r="G56" s="24">
        <f>IF('List Ticket'!G56=1, F56+1, 0)</f>
      </c>
      <c r="H56" s="24">
        <f>IF('List Ticket'!H56=1, G56+1, 0)</f>
      </c>
      <c r="I56" s="24">
        <f>IF('List Ticket'!I56=1, H56+1, 0)</f>
      </c>
      <c r="J56" s="24">
        <f>IF('List Ticket'!J56=1, I56+1, 0)</f>
      </c>
      <c r="K56" s="24">
        <f>IF('List Ticket'!K56=1, J56+1, 0)</f>
      </c>
      <c r="L56" s="24">
        <f>IF('List Ticket'!L56=1, K56+1, 0)</f>
      </c>
      <c r="M56" s="24">
        <f>IF('List Ticket'!M56=1, L56+1, 0)</f>
      </c>
      <c r="N56" s="24">
        <f>IF('List Ticket'!N56=1, M56+1, 0)</f>
      </c>
      <c r="O56" s="24">
        <f>IF('List Ticket'!O56=1, N56+1, 0)</f>
      </c>
      <c r="P56" s="24">
        <f>IF('List Ticket'!P56=1, O56+1, 0)</f>
      </c>
      <c r="Q56" s="24">
        <f>IF('List Ticket'!Q56=1, P56+1, 0)</f>
      </c>
      <c r="R56" s="24">
        <f>IF('List Ticket'!R56=1, Q56+1, 0)</f>
      </c>
      <c r="S56" s="24">
        <f>IF('List Ticket'!S56=1, R56+1, 0)</f>
      </c>
      <c r="T56" s="24">
        <f>IF('List Ticket'!T56=1, S56+1, 0)</f>
      </c>
      <c r="U56" s="24">
        <f>IF('List Ticket'!U56=1, T56+1, 0)</f>
      </c>
      <c r="V56" s="24">
        <f>IF('List Ticket'!V56=1, U56+1, 0)</f>
      </c>
      <c r="W56" s="24">
        <f>IF('List Ticket'!W56=1, V56+1, 0)</f>
      </c>
      <c r="X56" s="24">
        <f>IF('List Ticket'!X56=1, W56+1, 0)</f>
      </c>
      <c r="Y56" s="24">
        <f>IF('List Ticket'!Y56=1, X56+1, 0)</f>
      </c>
      <c r="Z56" s="24">
        <f>IF('List Ticket'!Z56=1, Y56+1, 0)</f>
      </c>
      <c r="AA56" s="27">
        <f>SUM(C56:Z56)</f>
      </c>
      <c r="AB56" s="39"/>
      <c r="AC56" s="39"/>
      <c r="AD56" s="39"/>
      <c r="AE56" s="39"/>
      <c r="AF56" s="39"/>
    </row>
    <row r="57">
      <c r="A57" s="6">
        <v>53</v>
      </c>
      <c r="B57" s="38"/>
      <c r="C57" s="29">
        <f>IF('List Ticket'!C57=1, 1, 0)</f>
      </c>
      <c r="D57" s="31">
        <f>IF('List Ticket'!D57=1, C57+1, 0)</f>
      </c>
      <c r="E57" s="24">
        <f>IF('List Ticket'!E57=1, D57+1, 0)</f>
      </c>
      <c r="F57" s="24">
        <f>IF('List Ticket'!F57=1, E57+1, 0)</f>
      </c>
      <c r="G57" s="24">
        <f>IF('List Ticket'!G57=1, F57+1, 0)</f>
      </c>
      <c r="H57" s="24">
        <f>IF('List Ticket'!H57=1, G57+1, 0)</f>
      </c>
      <c r="I57" s="24">
        <f>IF('List Ticket'!I57=1, H57+1, 0)</f>
      </c>
      <c r="J57" s="24">
        <f>IF('List Ticket'!J57=1, I57+1, 0)</f>
      </c>
      <c r="K57" s="24">
        <f>IF('List Ticket'!K57=1, J57+1, 0)</f>
      </c>
      <c r="L57" s="24">
        <f>IF('List Ticket'!L57=1, K57+1, 0)</f>
      </c>
      <c r="M57" s="24">
        <f>IF('List Ticket'!M57=1, L57+1, 0)</f>
      </c>
      <c r="N57" s="24">
        <f>IF('List Ticket'!N57=1, M57+1, 0)</f>
      </c>
      <c r="O57" s="24">
        <f>IF('List Ticket'!O57=1, N57+1, 0)</f>
      </c>
      <c r="P57" s="24">
        <f>IF('List Ticket'!P57=1, O57+1, 0)</f>
      </c>
      <c r="Q57" s="24">
        <f>IF('List Ticket'!Q57=1, P57+1, 0)</f>
      </c>
      <c r="R57" s="24">
        <f>IF('List Ticket'!R57=1, Q57+1, 0)</f>
      </c>
      <c r="S57" s="24">
        <f>IF('List Ticket'!S57=1, R57+1, 0)</f>
      </c>
      <c r="T57" s="24">
        <f>IF('List Ticket'!T57=1, S57+1, 0)</f>
      </c>
      <c r="U57" s="24">
        <f>IF('List Ticket'!U57=1, T57+1, 0)</f>
      </c>
      <c r="V57" s="24">
        <f>IF('List Ticket'!V57=1, U57+1, 0)</f>
      </c>
      <c r="W57" s="24">
        <f>IF('List Ticket'!W57=1, V57+1, 0)</f>
      </c>
      <c r="X57" s="24">
        <f>IF('List Ticket'!X57=1, W57+1, 0)</f>
      </c>
      <c r="Y57" s="24">
        <f>IF('List Ticket'!Y57=1, X57+1, 0)</f>
      </c>
      <c r="Z57" s="24">
        <f>IF('List Ticket'!Z57=1, Y57+1, 0)</f>
      </c>
      <c r="AA57" s="27">
        <f>SUM(C57:Z57)</f>
      </c>
      <c r="AB57" s="39"/>
      <c r="AC57" s="39"/>
      <c r="AD57" s="39"/>
      <c r="AE57" s="39"/>
      <c r="AF57" s="39"/>
    </row>
    <row r="58">
      <c r="A58" s="6">
        <v>54</v>
      </c>
      <c r="B58" s="38"/>
      <c r="C58" s="29">
        <f>IF('List Ticket'!C58=1, 1, 0)</f>
      </c>
      <c r="D58" s="31">
        <f>IF('List Ticket'!D58=1, C58+1, 0)</f>
      </c>
      <c r="E58" s="24">
        <f>IF('List Ticket'!E58=1, D58+1, 0)</f>
      </c>
      <c r="F58" s="24">
        <f>IF('List Ticket'!F58=1, E58+1, 0)</f>
      </c>
      <c r="G58" s="24">
        <f>IF('List Ticket'!G58=1, F58+1, 0)</f>
      </c>
      <c r="H58" s="24">
        <f>IF('List Ticket'!H58=1, G58+1, 0)</f>
      </c>
      <c r="I58" s="24">
        <f>IF('List Ticket'!I58=1, H58+1, 0)</f>
      </c>
      <c r="J58" s="24">
        <f>IF('List Ticket'!J58=1, I58+1, 0)</f>
      </c>
      <c r="K58" s="24">
        <f>IF('List Ticket'!K58=1, J58+1, 0)</f>
      </c>
      <c r="L58" s="24">
        <f>IF('List Ticket'!L58=1, K58+1, 0)</f>
      </c>
      <c r="M58" s="24">
        <f>IF('List Ticket'!M58=1, L58+1, 0)</f>
      </c>
      <c r="N58" s="24">
        <f>IF('List Ticket'!N58=1, M58+1, 0)</f>
      </c>
      <c r="O58" s="24">
        <f>IF('List Ticket'!O58=1, N58+1, 0)</f>
      </c>
      <c r="P58" s="24">
        <f>IF('List Ticket'!P58=1, O58+1, 0)</f>
      </c>
      <c r="Q58" s="24">
        <f>IF('List Ticket'!Q58=1, P58+1, 0)</f>
      </c>
      <c r="R58" s="24">
        <f>IF('List Ticket'!R58=1, Q58+1, 0)</f>
      </c>
      <c r="S58" s="24">
        <f>IF('List Ticket'!S58=1, R58+1, 0)</f>
      </c>
      <c r="T58" s="24">
        <f>IF('List Ticket'!T58=1, S58+1, 0)</f>
      </c>
      <c r="U58" s="24">
        <f>IF('List Ticket'!U58=1, T58+1, 0)</f>
      </c>
      <c r="V58" s="24">
        <f>IF('List Ticket'!V58=1, U58+1, 0)</f>
      </c>
      <c r="W58" s="24">
        <f>IF('List Ticket'!W58=1, V58+1, 0)</f>
      </c>
      <c r="X58" s="24">
        <f>IF('List Ticket'!X58=1, W58+1, 0)</f>
      </c>
      <c r="Y58" s="24">
        <f>IF('List Ticket'!Y58=1, X58+1, 0)</f>
      </c>
      <c r="Z58" s="24">
        <f>IF('List Ticket'!Z58=1, Y58+1, 0)</f>
      </c>
      <c r="AA58" s="27">
        <f>SUM(C58:Z58)</f>
      </c>
      <c r="AB58" s="39"/>
      <c r="AC58" s="39"/>
      <c r="AD58" s="39"/>
      <c r="AE58" s="39"/>
      <c r="AF58" s="39"/>
    </row>
    <row r="59">
      <c r="A59" s="6">
        <v>55</v>
      </c>
      <c r="B59" s="38"/>
      <c r="C59" s="29">
        <f>IF('List Ticket'!C59=1, 1, 0)</f>
      </c>
      <c r="D59" s="31">
        <f>IF('List Ticket'!D59=1, C59+1, 0)</f>
      </c>
      <c r="E59" s="24">
        <f>IF('List Ticket'!E59=1, D59+1, 0)</f>
      </c>
      <c r="F59" s="24">
        <f>IF('List Ticket'!F59=1, E59+1, 0)</f>
      </c>
      <c r="G59" s="24">
        <f>IF('List Ticket'!G59=1, F59+1, 0)</f>
      </c>
      <c r="H59" s="24">
        <f>IF('List Ticket'!H59=1, G59+1, 0)</f>
      </c>
      <c r="I59" s="24">
        <f>IF('List Ticket'!I59=1, H59+1, 0)</f>
      </c>
      <c r="J59" s="24">
        <f>IF('List Ticket'!J59=1, I59+1, 0)</f>
      </c>
      <c r="K59" s="24">
        <f>IF('List Ticket'!K59=1, J59+1, 0)</f>
      </c>
      <c r="L59" s="24">
        <f>IF('List Ticket'!L59=1, K59+1, 0)</f>
      </c>
      <c r="M59" s="24">
        <f>IF('List Ticket'!M59=1, L59+1, 0)</f>
      </c>
      <c r="N59" s="24">
        <f>IF('List Ticket'!N59=1, M59+1, 0)</f>
      </c>
      <c r="O59" s="24">
        <f>IF('List Ticket'!O59=1, N59+1, 0)</f>
      </c>
      <c r="P59" s="24">
        <f>IF('List Ticket'!P59=1, O59+1, 0)</f>
      </c>
      <c r="Q59" s="24">
        <f>IF('List Ticket'!Q59=1, P59+1, 0)</f>
      </c>
      <c r="R59" s="24">
        <f>IF('List Ticket'!R59=1, Q59+1, 0)</f>
      </c>
      <c r="S59" s="24">
        <f>IF('List Ticket'!S59=1, R59+1, 0)</f>
      </c>
      <c r="T59" s="24">
        <f>IF('List Ticket'!T59=1, S59+1, 0)</f>
      </c>
      <c r="U59" s="24">
        <f>IF('List Ticket'!U59=1, T59+1, 0)</f>
      </c>
      <c r="V59" s="24">
        <f>IF('List Ticket'!V59=1, U59+1, 0)</f>
      </c>
      <c r="W59" s="24">
        <f>IF('List Ticket'!W59=1, V59+1, 0)</f>
      </c>
      <c r="X59" s="24">
        <f>IF('List Ticket'!X59=1, W59+1, 0)</f>
      </c>
      <c r="Y59" s="24">
        <f>IF('List Ticket'!Y59=1, X59+1, 0)</f>
      </c>
      <c r="Z59" s="24">
        <f>IF('List Ticket'!Z59=1, Y59+1, 0)</f>
      </c>
      <c r="AA59" s="27">
        <f>SUM(C59:Z59)</f>
      </c>
      <c r="AB59" s="39"/>
      <c r="AC59" s="39"/>
      <c r="AD59" s="39"/>
      <c r="AE59" s="39"/>
      <c r="AF59" s="39"/>
    </row>
    <row r="60">
      <c r="A60" s="6">
        <v>56</v>
      </c>
      <c r="B60" s="38"/>
      <c r="C60" s="29">
        <f>IF('List Ticket'!C60=1, 1, 0)</f>
      </c>
      <c r="D60" s="31">
        <f>IF('List Ticket'!D60=1, C60+1, 0)</f>
      </c>
      <c r="E60" s="24">
        <f>IF('List Ticket'!E60=1, D60+1, 0)</f>
      </c>
      <c r="F60" s="24">
        <f>IF('List Ticket'!F60=1, E60+1, 0)</f>
      </c>
      <c r="G60" s="24">
        <f>IF('List Ticket'!G60=1, F60+1, 0)</f>
      </c>
      <c r="H60" s="24">
        <f>IF('List Ticket'!H60=1, G60+1, 0)</f>
      </c>
      <c r="I60" s="24">
        <f>IF('List Ticket'!I60=1, H60+1, 0)</f>
      </c>
      <c r="J60" s="24">
        <f>IF('List Ticket'!J60=1, I60+1, 0)</f>
      </c>
      <c r="K60" s="24">
        <f>IF('List Ticket'!K60=1, J60+1, 0)</f>
      </c>
      <c r="L60" s="24">
        <f>IF('List Ticket'!L60=1, K60+1, 0)</f>
      </c>
      <c r="M60" s="24">
        <f>IF('List Ticket'!M60=1, L60+1, 0)</f>
      </c>
      <c r="N60" s="24">
        <f>IF('List Ticket'!N60=1, M60+1, 0)</f>
      </c>
      <c r="O60" s="24">
        <f>IF('List Ticket'!O60=1, N60+1, 0)</f>
      </c>
      <c r="P60" s="24">
        <f>IF('List Ticket'!P60=1, O60+1, 0)</f>
      </c>
      <c r="Q60" s="24">
        <f>IF('List Ticket'!Q60=1, P60+1, 0)</f>
      </c>
      <c r="R60" s="24">
        <f>IF('List Ticket'!R60=1, Q60+1, 0)</f>
      </c>
      <c r="S60" s="24">
        <f>IF('List Ticket'!S60=1, R60+1, 0)</f>
      </c>
      <c r="T60" s="24">
        <f>IF('List Ticket'!T60=1, S60+1, 0)</f>
      </c>
      <c r="U60" s="24">
        <f>IF('List Ticket'!U60=1, T60+1, 0)</f>
      </c>
      <c r="V60" s="24">
        <f>IF('List Ticket'!V60=1, U60+1, 0)</f>
      </c>
      <c r="W60" s="24">
        <f>IF('List Ticket'!W60=1, V60+1, 0)</f>
      </c>
      <c r="X60" s="24">
        <f>IF('List Ticket'!X60=1, W60+1, 0)</f>
      </c>
      <c r="Y60" s="24">
        <f>IF('List Ticket'!Y60=1, X60+1, 0)</f>
      </c>
      <c r="Z60" s="24">
        <f>IF('List Ticket'!Z60=1, Y60+1, 0)</f>
      </c>
      <c r="AA60" s="27">
        <f>SUM(C60:Z60)</f>
      </c>
      <c r="AB60" s="39"/>
      <c r="AC60" s="39"/>
      <c r="AD60" s="39"/>
      <c r="AE60" s="39"/>
      <c r="AF60" s="39"/>
    </row>
    <row r="61">
      <c r="A61" s="6">
        <v>57</v>
      </c>
      <c r="B61" s="38"/>
      <c r="C61" s="29">
        <f>IF('List Ticket'!C61=1, 1, 0)</f>
      </c>
      <c r="D61" s="31">
        <f>IF('List Ticket'!D61=1, C61+1, 0)</f>
      </c>
      <c r="E61" s="24">
        <f>IF('List Ticket'!E61=1, D61+1, 0)</f>
      </c>
      <c r="F61" s="24">
        <f>IF('List Ticket'!F61=1, E61+1, 0)</f>
      </c>
      <c r="G61" s="24">
        <f>IF('List Ticket'!G61=1, F61+1, 0)</f>
      </c>
      <c r="H61" s="24">
        <f>IF('List Ticket'!H61=1, G61+1, 0)</f>
      </c>
      <c r="I61" s="24">
        <f>IF('List Ticket'!I61=1, H61+1, 0)</f>
      </c>
      <c r="J61" s="24">
        <f>IF('List Ticket'!J61=1, I61+1, 0)</f>
      </c>
      <c r="K61" s="24">
        <f>IF('List Ticket'!K61=1, J61+1, 0)</f>
      </c>
      <c r="L61" s="24">
        <f>IF('List Ticket'!L61=1, K61+1, 0)</f>
      </c>
      <c r="M61" s="24">
        <f>IF('List Ticket'!M61=1, L61+1, 0)</f>
      </c>
      <c r="N61" s="24">
        <f>IF('List Ticket'!N61=1, M61+1, 0)</f>
      </c>
      <c r="O61" s="24">
        <f>IF('List Ticket'!O61=1, N61+1, 0)</f>
      </c>
      <c r="P61" s="24">
        <f>IF('List Ticket'!P61=1, O61+1, 0)</f>
      </c>
      <c r="Q61" s="24">
        <f>IF('List Ticket'!Q61=1, P61+1, 0)</f>
      </c>
      <c r="R61" s="24">
        <f>IF('List Ticket'!R61=1, Q61+1, 0)</f>
      </c>
      <c r="S61" s="24">
        <f>IF('List Ticket'!S61=1, R61+1, 0)</f>
      </c>
      <c r="T61" s="24">
        <f>IF('List Ticket'!T61=1, S61+1, 0)</f>
      </c>
      <c r="U61" s="24">
        <f>IF('List Ticket'!U61=1, T61+1, 0)</f>
      </c>
      <c r="V61" s="24">
        <f>IF('List Ticket'!V61=1, U61+1, 0)</f>
      </c>
      <c r="W61" s="24">
        <f>IF('List Ticket'!W61=1, V61+1, 0)</f>
      </c>
      <c r="X61" s="24">
        <f>IF('List Ticket'!X61=1, W61+1, 0)</f>
      </c>
      <c r="Y61" s="24">
        <f>IF('List Ticket'!Y61=1, X61+1, 0)</f>
      </c>
      <c r="Z61" s="24">
        <f>IF('List Ticket'!Z61=1, Y61+1, 0)</f>
      </c>
      <c r="AA61" s="27">
        <f>SUM(C61:Z61)</f>
      </c>
      <c r="AB61" s="39"/>
      <c r="AC61" s="39"/>
      <c r="AD61" s="39"/>
      <c r="AE61" s="39"/>
      <c r="AF61" s="39"/>
    </row>
    <row r="62">
      <c r="A62" s="6">
        <v>58</v>
      </c>
      <c r="B62" s="38"/>
      <c r="C62" s="29">
        <f>IF(#REF!=1, 1, 0)</f>
      </c>
      <c r="D62" s="31">
        <f>IF(#REF!=1, C62+1, 0)</f>
      </c>
      <c r="E62" s="24">
        <f>IF(#REF!=1, D62+1, 0)</f>
      </c>
      <c r="F62" s="24">
        <f>IF(#REF!=1, E62+1, 0)</f>
      </c>
      <c r="G62" s="24">
        <f>IF(#REF!=1, F62+1, 0)</f>
      </c>
      <c r="H62" s="24">
        <f>IF(#REF!=1, G62+1, 0)</f>
      </c>
      <c r="I62" s="24">
        <f>IF(#REF!=1, H62+1, 0)</f>
      </c>
      <c r="J62" s="24">
        <f>IF(#REF!=1, I62+1, 0)</f>
      </c>
      <c r="K62" s="24">
        <f>IF(#REF!=1, J62+1, 0)</f>
      </c>
      <c r="L62" s="24">
        <f>IF(#REF!=1, K62+1, 0)</f>
      </c>
      <c r="M62" s="24">
        <f>IF(#REF!=1, L62+1, 0)</f>
      </c>
      <c r="N62" s="24">
        <f>IF(#REF!=1, M62+1, 0)</f>
      </c>
      <c r="O62" s="24">
        <f>IF(#REF!=1, N62+1, 0)</f>
      </c>
      <c r="P62" s="24">
        <f>IF(#REF!=1, O62+1, 0)</f>
      </c>
      <c r="Q62" s="24">
        <f>IF(#REF!=1, P62+1, 0)</f>
      </c>
      <c r="R62" s="24">
        <f>IF(#REF!=1, Q62+1, 0)</f>
      </c>
      <c r="S62" s="24">
        <f>IF(#REF!=1, R62+1, 0)</f>
      </c>
      <c r="T62" s="24">
        <f>IF(#REF!=1, S62+1, 0)</f>
      </c>
      <c r="U62" s="24">
        <f>IF(#REF!=1, T62+1, 0)</f>
      </c>
      <c r="V62" s="24">
        <f>IF(#REF!=1, U62+1, 0)</f>
      </c>
      <c r="W62" s="24">
        <f>IF(#REF!=1, V62+1, 0)</f>
      </c>
      <c r="X62" s="24">
        <f>IF(#REF!=1, W62+1, 0)</f>
      </c>
      <c r="Y62" s="24">
        <f>IF(#REF!=1, X62+1, 0)</f>
      </c>
      <c r="Z62" s="24">
        <f>IF(#REF!=1, Y62+1, 0)</f>
      </c>
      <c r="AA62" s="27">
        <f>SUM(C62:Z62)</f>
      </c>
      <c r="AB62" s="39"/>
      <c r="AC62" s="39"/>
      <c r="AD62" s="39"/>
      <c r="AE62" s="39"/>
      <c r="AF62" s="39"/>
    </row>
    <row r="63">
      <c r="A63" s="6">
        <v>59</v>
      </c>
      <c r="B63" s="38"/>
      <c r="C63" s="29">
        <f>IF('List Ticket'!C62=1, 1, 0)</f>
      </c>
      <c r="D63" s="31">
        <f>IF('List Ticket'!D62=1, C63+1, 0)</f>
      </c>
      <c r="E63" s="24">
        <f>IF('List Ticket'!E62=1, D63+1, 0)</f>
      </c>
      <c r="F63" s="24">
        <f>IF('List Ticket'!F62=1, E63+1, 0)</f>
      </c>
      <c r="G63" s="24">
        <f>IF('List Ticket'!G62=1, F63+1, 0)</f>
      </c>
      <c r="H63" s="24">
        <f>IF('List Ticket'!H62=1, G63+1, 0)</f>
      </c>
      <c r="I63" s="24">
        <f>IF('List Ticket'!I62=1, H63+1, 0)</f>
      </c>
      <c r="J63" s="24">
        <f>IF('List Ticket'!J62=1, I63+1, 0)</f>
      </c>
      <c r="K63" s="24">
        <f>IF('List Ticket'!K62=1, J63+1, 0)</f>
      </c>
      <c r="L63" s="24">
        <f>IF('List Ticket'!L62=1, K63+1, 0)</f>
      </c>
      <c r="M63" s="24">
        <f>IF('List Ticket'!M62=1, L63+1, 0)</f>
      </c>
      <c r="N63" s="24">
        <f>IF('List Ticket'!N62=1, M63+1, 0)</f>
      </c>
      <c r="O63" s="24">
        <f>IF('List Ticket'!O62=1, N63+1, 0)</f>
      </c>
      <c r="P63" s="24">
        <f>IF('List Ticket'!P62=1, O63+1, 0)</f>
      </c>
      <c r="Q63" s="24">
        <f>IF('List Ticket'!Q62=1, P63+1, 0)</f>
      </c>
      <c r="R63" s="24">
        <f>IF('List Ticket'!R62=1, Q63+1, 0)</f>
      </c>
      <c r="S63" s="24">
        <f>IF('List Ticket'!S62=1, R63+1, 0)</f>
      </c>
      <c r="T63" s="24">
        <f>IF('List Ticket'!T62=1, S63+1, 0)</f>
      </c>
      <c r="U63" s="24">
        <f>IF('List Ticket'!U62=1, T63+1, 0)</f>
      </c>
      <c r="V63" s="24">
        <f>IF('List Ticket'!V62=1, U63+1, 0)</f>
      </c>
      <c r="W63" s="24">
        <f>IF('List Ticket'!W62=1, V63+1, 0)</f>
      </c>
      <c r="X63" s="24">
        <f>IF('List Ticket'!X62=1, W63+1, 0)</f>
      </c>
      <c r="Y63" s="24">
        <f>IF('List Ticket'!Y62=1, X63+1, 0)</f>
      </c>
      <c r="Z63" s="24">
        <f>IF('List Ticket'!Z62=1, Y63+1, 0)</f>
      </c>
      <c r="AA63" s="27">
        <f>SUM(C63:Z63)</f>
      </c>
      <c r="AB63" s="39"/>
      <c r="AC63" s="39"/>
      <c r="AD63" s="39"/>
      <c r="AE63" s="39"/>
      <c r="AF63" s="39"/>
    </row>
    <row r="64">
      <c r="A64" s="6">
        <v>60</v>
      </c>
      <c r="B64" s="38"/>
      <c r="C64" s="29">
        <f>IF('List Ticket'!C63=1, 1, 0)</f>
      </c>
      <c r="D64" s="31">
        <f>IF('List Ticket'!D63=1, C64+1, 0)</f>
      </c>
      <c r="E64" s="24">
        <f>IF('List Ticket'!E63=1, D64+1, 0)</f>
      </c>
      <c r="F64" s="24">
        <f>IF('List Ticket'!F63=1, E64+1, 0)</f>
      </c>
      <c r="G64" s="24">
        <f>IF('List Ticket'!G63=1, F64+1, 0)</f>
      </c>
      <c r="H64" s="24">
        <f>IF('List Ticket'!H63=1, G64+1, 0)</f>
      </c>
      <c r="I64" s="24">
        <f>IF('List Ticket'!I63=1, H64+1, 0)</f>
      </c>
      <c r="J64" s="24">
        <f>IF('List Ticket'!J63=1, I64+1, 0)</f>
      </c>
      <c r="K64" s="24">
        <f>IF('List Ticket'!K63=1, J64+1, 0)</f>
      </c>
      <c r="L64" s="24">
        <f>IF('List Ticket'!L63=1, K64+1, 0)</f>
      </c>
      <c r="M64" s="24">
        <f>IF('List Ticket'!M63=1, L64+1, 0)</f>
      </c>
      <c r="N64" s="24">
        <f>IF('List Ticket'!N63=1, M64+1, 0)</f>
      </c>
      <c r="O64" s="24">
        <f>IF('List Ticket'!O63=1, N64+1, 0)</f>
      </c>
      <c r="P64" s="24">
        <f>IF('List Ticket'!P63=1, O64+1, 0)</f>
      </c>
      <c r="Q64" s="24">
        <f>IF('List Ticket'!Q63=1, P64+1, 0)</f>
      </c>
      <c r="R64" s="24">
        <f>IF('List Ticket'!R63=1, Q64+1, 0)</f>
      </c>
      <c r="S64" s="24">
        <f>IF('List Ticket'!S63=1, R64+1, 0)</f>
      </c>
      <c r="T64" s="24">
        <f>IF('List Ticket'!T63=1, S64+1, 0)</f>
      </c>
      <c r="U64" s="24">
        <f>IF('List Ticket'!U63=1, T64+1, 0)</f>
      </c>
      <c r="V64" s="24">
        <f>IF('List Ticket'!V63=1, U64+1, 0)</f>
      </c>
      <c r="W64" s="24">
        <f>IF('List Ticket'!W63=1, V64+1, 0)</f>
      </c>
      <c r="X64" s="24">
        <f>IF('List Ticket'!X63=1, W64+1, 0)</f>
      </c>
      <c r="Y64" s="24">
        <f>IF('List Ticket'!Y63=1, X64+1, 0)</f>
      </c>
      <c r="Z64" s="24">
        <f>IF('List Ticket'!Z63=1, Y64+1, 0)</f>
      </c>
      <c r="AA64" s="27">
        <f>SUM(C64:Z64)</f>
      </c>
      <c r="AB64" s="39"/>
      <c r="AC64" s="39"/>
      <c r="AD64" s="39"/>
      <c r="AE64" s="39"/>
      <c r="AF64" s="39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</row>
  </sheetData>
  <mergeCells>
    <mergeCell ref="A2:B3"/>
    <mergeCell ref="AF2:AF3"/>
    <mergeCell ref="AE2:AE3"/>
    <mergeCell ref="AD2:AD3"/>
    <mergeCell ref="AC2:AC3"/>
    <mergeCell ref="AB2:A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