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<sst xmlns="http://schemas.openxmlformats.org/spreadsheetml/2006/main" count="5" uniqueCount="5">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</sst>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  <fill>
      <patternFill patternType="solid">
        <fgColor rgb="FFEEF6C6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/>
    </xf>
    <xf applyAlignment="true" applyBorder="false" applyFill="true" applyFont="true" applyNumberFormat="false" applyProtection="false" borderId="6" fillId="6" fontId="6" numFmtId="0" xfId="0">
      <alignment vertical="center"/>
    </xf>
    <xf applyAlignment="true" applyBorder="false" applyFill="true" applyFont="true" applyNumberFormat="false" applyProtection="false" borderId="7" fillId="7" fontId="2" numFmtId="0" xfId="0">
      <alignment horizontal="center" vertical="center"/>
    </xf>
    <xf applyAlignment="true" applyBorder="false" applyFill="true" applyFont="true" applyNumberFormat="false" applyProtection="false" borderId="8" fillId="8" fontId="7" numFmtId="0" xfId="0">
      <alignment horizontal="center" vertical="center" wrapText="true"/>
    </xf>
    <xf applyAlignment="true" applyBorder="false" applyFill="true" applyFont="true" applyNumberFormat="false" applyProtection="false" borderId="9" fillId="9" fontId="8" numFmtId="0" xfId="0">
      <alignment horizontal="center" vertical="center" wrapText="true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true" applyProtection="false" borderId="21" fillId="21" fontId="13" numFmtId="164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15" numFmtId="0" xfId="0">
      <alignment horizontal="center" vertical="center" wrapText="true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16" numFmtId="0" xfId="0">
      <alignment horizontal="center" vertical="center" wrapText="true"/>
    </xf>
    <xf applyAlignment="true" applyBorder="false" applyFill="true" applyFont="true" applyNumberFormat="false" applyProtection="false" borderId="28" fillId="28" fontId="5" numFmtId="0" xfId="0">
      <alignment horizontal="center" vertical="center"/>
    </xf>
    <xf applyAlignment="true" applyBorder="false" applyFill="true" applyFont="true" applyNumberFormat="false" applyProtection="false" borderId="29" fillId="29" fontId="17" numFmtId="0" xfId="0">
      <alignment horizontal="center" vertical="center" wrapText="true"/>
    </xf>
    <xf applyAlignment="true" applyBorder="false" applyFill="true" applyFont="true" applyNumberFormat="false" applyProtection="false" borderId="30" fillId="30" fontId="9" numFmtId="0" xfId="0">
      <alignment horizontal="left" vertical="center" wrapText="true"/>
    </xf>
    <xf applyAlignment="true" applyBorder="false" applyFill="true" applyFont="true" applyNumberFormat="false" applyProtection="false" borderId="31" fillId="31" fontId="18" numFmtId="0" xfId="0">
      <alignment horizontal="center" vertical="center" wrapText="true"/>
    </xf>
    <xf applyAlignment="true" applyBorder="false" applyFill="true" applyFont="true" applyNumberFormat="false" applyProtection="false" borderId="32" fillId="32" fontId="14" numFmtId="0" xfId="0">
      <alignment horizontal="center" vertical="center" wrapText="true"/>
    </xf>
    <xf applyAlignment="true" applyBorder="false" applyFill="true" applyFont="true" applyNumberFormat="false" applyProtection="false" borderId="33" fillId="33" fontId="14" numFmtId="0" xfId="0">
      <alignment horizontal="center" vertical="center" wrapText="true"/>
    </xf>
    <xf applyAlignment="true" applyBorder="false" applyFill="false" applyFont="true" applyNumberFormat="false" applyProtection="false" borderId="34" fillId="0" fontId="10" numFmtId="0" xfId="0">
      <alignment horizontal="left" vertical="bottom" wrapText="true"/>
    </xf>
    <xf applyAlignment="true" applyBorder="false" applyFill="true" applyFont="true" applyNumberFormat="false" applyProtection="false" borderId="35" fillId="34" fontId="14" numFmtId="0" xfId="0">
      <alignment horizontal="center" vertical="center" wrapText="true"/>
    </xf>
    <xf applyAlignment="true" applyBorder="false" applyFill="true" applyFont="true" applyNumberFormat="false" applyProtection="false" borderId="36" fillId="35" fontId="18" numFmtId="0" xfId="0">
      <alignment horizontal="center" vertical="center" wrapText="true"/>
    </xf>
    <xf applyAlignment="true" applyBorder="false" applyFill="true" applyFont="true" applyNumberFormat="false" applyProtection="false" borderId="37" fillId="36" fontId="13" numFmtId="0" xfId="0">
      <alignment horizontal="center" vertical="center" wrapText="true"/>
    </xf>
    <xf applyAlignment="true" applyBorder="false" applyFill="true" applyFont="true" applyNumberFormat="false" applyProtection="false" borderId="38" fillId="37" fontId="6" numFmtId="0" xfId="0">
      <alignment vertical="center"/>
    </xf>
    <xf applyAlignment="true" applyBorder="false" applyFill="false" applyFont="true" applyNumberFormat="false" applyProtection="false" borderId="39" fillId="0" fontId="19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tr">
        <v>MEMBER</v>
      </c>
      <c r="B2" s="12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6" t="s">
        <v>3</v>
      </c>
      <c r="AD2" s="16" t="s">
        <v>2</v>
      </c>
      <c r="AE2" s="17" t="s">
        <v>1</v>
      </c>
    </row>
    <row r="3">
      <c r="A3" s="12"/>
      <c r="B3" s="12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15"/>
      <c r="AB3" s="14"/>
      <c r="AC3" s="16"/>
      <c r="AD3" s="16"/>
      <c r="AE3" s="17"/>
    </row>
    <row r="4">
      <c r="A4" s="20" t="str">
        <v>
</v>
      </c>
      <c r="B4" s="19" t="str">
        <v>TOTAL</v>
      </c>
      <c r="C4" s="18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18">
        <f>SUM(AB5:AB64)</f>
      </c>
      <c r="AC4" s="18">
        <f>SUM(AC5:AC64)</f>
      </c>
      <c r="AD4" s="18">
        <f>SUM(AD5:AD64)</f>
      </c>
      <c r="AE4" s="18">
        <f>SUM(AE5:AE64)</f>
      </c>
    </row>
    <row r="5">
      <c r="A5" s="11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9">
        <f>SUM(C5:Z5)</f>
      </c>
      <c r="AB5" s="8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11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9">
        <f>SUM(C6:Z6)</f>
      </c>
      <c r="AB6" s="8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11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9">
        <f>SUM(C7:Z7)</f>
      </c>
      <c r="AB7" s="8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11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9">
        <f>SUM(C8:Z8)</f>
      </c>
      <c r="AB8" s="8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11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9">
        <f>SUM(C9:Z9)</f>
      </c>
      <c r="AB9" s="8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11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9">
        <f>SUM(C10:Z10)</f>
      </c>
      <c r="AB10" s="8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11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9">
        <f>SUM(C11:Z11)</f>
      </c>
      <c r="AB11" s="8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11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9">
        <f>SUM(C12:Z12)</f>
      </c>
      <c r="AB12" s="8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11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9">
        <f>SUM(C13:Z13)</f>
      </c>
      <c r="AB13" s="8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11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9">
        <f>SUM(C14:Z14)</f>
      </c>
      <c r="AB14" s="8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11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9">
        <f>SUM(C15:Z15)</f>
      </c>
      <c r="AB15" s="8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11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9">
        <f>SUM(C16:Z16)</f>
      </c>
      <c r="AB16" s="8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11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9">
        <f>SUM(C17:Z17)</f>
      </c>
      <c r="AB17" s="8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11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9">
        <f>SUM(C18:Z18)</f>
      </c>
      <c r="AB18" s="8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11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9">
        <f>SUM(C19:Z19)</f>
      </c>
      <c r="AB19" s="8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11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9">
        <f>SUM(C20:Z20)</f>
      </c>
      <c r="AB20" s="8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11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9">
        <f>SUM(C21:Z21)</f>
      </c>
      <c r="AB21" s="8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11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9">
        <f>SUM(C22:Z22)</f>
      </c>
      <c r="AB22" s="8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11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9">
        <f>SUM(C23:Z23)</f>
      </c>
      <c r="AB23" s="8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11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9">
        <f>SUM(C24:Z24)</f>
      </c>
      <c r="AB24" s="8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11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9">
        <f>SUM(C25:Z25)</f>
      </c>
      <c r="AB25" s="8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11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9">
        <f>SUM(C26:Z26)</f>
      </c>
      <c r="AB26" s="8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11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9">
        <f>SUM(C27:Z27)</f>
      </c>
      <c r="AB27" s="8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11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9">
        <f>SUM(C28:Z28)</f>
      </c>
      <c r="AB28" s="8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11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9">
        <f>SUM(C29:Z29)</f>
      </c>
      <c r="AB29" s="8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11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9">
        <f>SUM(C30:Z30)</f>
      </c>
      <c r="AB30" s="8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11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9">
        <f>SUM(C31:Z31)</f>
      </c>
      <c r="AB31" s="8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11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9">
        <f>SUM(C32:Z32)</f>
      </c>
      <c r="AB32" s="8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11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9">
        <f>SUM(C33:Z33)</f>
      </c>
      <c r="AB33" s="8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11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9">
        <f>SUM(C34:Z34)</f>
      </c>
      <c r="AB34" s="8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5">
        <v>31</v>
      </c>
      <c r="B35" s="6" t="str">
        <v>JAMberAPA12</v>
      </c>
      <c r="C35" s="7">
        <v>0</v>
      </c>
      <c r="D35" s="7">
        <v>0</v>
      </c>
      <c r="E35" s="7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9">
        <f>SUM(C35:Z35)</f>
      </c>
      <c r="AB35" s="8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5">
        <v>32</v>
      </c>
      <c r="B36" s="6" t="str">
        <v>FerryGood</v>
      </c>
      <c r="C36" s="7">
        <v>0</v>
      </c>
      <c r="D36" s="7">
        <v>0</v>
      </c>
      <c r="E36" s="7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9">
        <f>SUM(C36:Z36)</f>
      </c>
      <c r="AB36" s="8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5">
        <v>33</v>
      </c>
      <c r="B37" s="6" t="str">
        <v>messiLeo</v>
      </c>
      <c r="C37" s="7">
        <v>0</v>
      </c>
      <c r="D37" s="7">
        <v>0</v>
      </c>
      <c r="E37" s="7">
        <v>1</v>
      </c>
      <c r="F37" s="2">
        <v>1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9">
        <f>SUM(C37:Z37)</f>
      </c>
      <c r="AB37" s="8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5">
        <v>34</v>
      </c>
      <c r="B38" s="6" t="str">
        <v>KepomponG✅</v>
      </c>
      <c r="C38" s="7">
        <v>0</v>
      </c>
      <c r="D38" s="7">
        <v>0</v>
      </c>
      <c r="E38" s="7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9">
        <f>SUM(C38:Z38)</f>
      </c>
      <c r="AB38" s="8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5">
        <v>35</v>
      </c>
      <c r="B39" s="6" t="str" xml:space="preserve">
        <v>Yuli </v>
      </c>
      <c r="C39" s="7">
        <v>0</v>
      </c>
      <c r="D39" s="7">
        <v>1</v>
      </c>
      <c r="E39" s="7">
        <v>1</v>
      </c>
      <c r="F39" s="2">
        <v>1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9">
        <f>SUM(C39:Z39)</f>
      </c>
      <c r="AB39" s="8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5">
        <v>36</v>
      </c>
      <c r="B40" s="6" t="str">
        <v>GELPHY ✅</v>
      </c>
      <c r="C40" s="7">
        <v>0</v>
      </c>
      <c r="D40" s="7">
        <v>0</v>
      </c>
      <c r="E40" s="7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9">
        <f>SUM(C40:Z40)</f>
      </c>
      <c r="AB40" s="8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5">
        <v>37</v>
      </c>
      <c r="B41" s="6" t="str">
        <v>Darso</v>
      </c>
      <c r="C41" s="7">
        <v>0</v>
      </c>
      <c r="D41" s="7">
        <v>0</v>
      </c>
      <c r="E41" s="7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9">
        <f>SUM(C41:Z41)</f>
      </c>
      <c r="AB41" s="8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5">
        <v>38</v>
      </c>
      <c r="B42" s="6" t="str">
        <v>Zuna76</v>
      </c>
      <c r="C42" s="7">
        <v>0</v>
      </c>
      <c r="D42" s="7">
        <v>0</v>
      </c>
      <c r="E42" s="7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9">
        <f>SUM(C42:Z42)</f>
      </c>
      <c r="AB42" s="8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5">
        <v>39</v>
      </c>
      <c r="B43" s="6" t="str">
        <v>peyeri1906</v>
      </c>
      <c r="C43" s="7">
        <v>0</v>
      </c>
      <c r="D43" s="7">
        <v>1</v>
      </c>
      <c r="E43" s="7">
        <v>1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9">
        <f>SUM(C43:Z43)</f>
      </c>
      <c r="AB43" s="8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5">
        <v>40</v>
      </c>
      <c r="B44" s="6" t="str">
        <v>Lani</v>
      </c>
      <c r="C44" s="7">
        <v>0</v>
      </c>
      <c r="D44" s="7">
        <v>0</v>
      </c>
      <c r="E44" s="7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9">
        <f>SUM(C44:Z44)</f>
      </c>
      <c r="AB44" s="8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5">
        <v>41</v>
      </c>
      <c r="B45" s="6" t="str">
        <v>mytradding</v>
      </c>
      <c r="C45" s="7">
        <v>0</v>
      </c>
      <c r="D45" s="7">
        <v>0</v>
      </c>
      <c r="E45" s="7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9">
        <f>SUM(C45:Z45)</f>
      </c>
      <c r="AB45" s="8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5">
        <v>42</v>
      </c>
      <c r="B46" s="6" t="str">
        <v>Bejo09</v>
      </c>
      <c r="C46" s="7">
        <v>0</v>
      </c>
      <c r="D46" s="7">
        <v>0</v>
      </c>
      <c r="E46" s="7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9">
        <f>SUM(C46:Z46)</f>
      </c>
      <c r="AB46" s="8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5">
        <v>43</v>
      </c>
      <c r="B47" s="6" t="str" xml:space="preserve">
        <v>FAAHAS </v>
      </c>
      <c r="C47" s="7">
        <v>0</v>
      </c>
      <c r="D47" s="7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9">
        <f>SUM(C47:Z47)</f>
      </c>
      <c r="AB47" s="8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5">
        <v>44</v>
      </c>
      <c r="B48" s="6" t="str">
        <v>Mr.Eko</v>
      </c>
      <c r="C48" s="7">
        <v>0</v>
      </c>
      <c r="D48" s="7">
        <v>1</v>
      </c>
      <c r="E48" s="7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9">
        <f>SUM(C48:Z48)</f>
      </c>
      <c r="AB48" s="8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5">
        <v>45</v>
      </c>
      <c r="B49" s="6" t="str">
        <v>ernaeky788</v>
      </c>
      <c r="C49" s="7">
        <v>0</v>
      </c>
      <c r="D49" s="7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9">
        <f>SUM(C49:Z49)</f>
      </c>
      <c r="AB49" s="8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5">
        <v>46</v>
      </c>
      <c r="B50" s="6" t="str">
        <v>Cuan XRP</v>
      </c>
      <c r="C50" s="7">
        <v>0</v>
      </c>
      <c r="D50" s="7">
        <v>1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9">
        <f>SUM(C50:Z50)</f>
      </c>
      <c r="AB50" s="8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5">
        <v>47</v>
      </c>
      <c r="B51" s="6" t="str">
        <v>MUHAMMAD NASRULLAH</v>
      </c>
      <c r="C51" s="7">
        <v>0</v>
      </c>
      <c r="D51" s="7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9">
        <f>SUM(C51:Z51)</f>
      </c>
      <c r="AB51" s="8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5">
        <v>48</v>
      </c>
      <c r="B52" s="6" t="str">
        <v>Tjoei Lan</v>
      </c>
      <c r="C52" s="7">
        <v>0</v>
      </c>
      <c r="D52" s="7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9">
        <f>SUM(C52:Z52)</f>
      </c>
      <c r="AB52" s="8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5">
        <v>49</v>
      </c>
      <c r="B53" s="6" t="str">
        <v>Syamsultan</v>
      </c>
      <c r="C53" s="7">
        <v>0</v>
      </c>
      <c r="D53" s="7">
        <v>1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9">
        <f>SUM(C53:Z53)</f>
      </c>
      <c r="AB53" s="8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5">
        <v>50</v>
      </c>
      <c r="B54" s="6" t="str">
        <v>INDRAWAN</v>
      </c>
      <c r="C54" s="7">
        <v>0</v>
      </c>
      <c r="D54" s="7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9">
        <f>SUM(C54:Z54)</f>
      </c>
      <c r="AB54" s="8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5">
        <v>51</v>
      </c>
      <c r="B55" s="6" t="str">
        <v>TIYANG SAE</v>
      </c>
      <c r="C55" s="7">
        <v>0</v>
      </c>
      <c r="D55" s="7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9">
        <f>SUM(C55:Z55)</f>
      </c>
      <c r="AB55" s="8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5">
        <v>52</v>
      </c>
      <c r="B56" s="6" t="str">
        <v>HadriKSD</v>
      </c>
      <c r="C56" s="7">
        <v>0</v>
      </c>
      <c r="D56" s="7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9">
        <f>SUM(C56:Z56)</f>
      </c>
      <c r="AB56" s="8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5">
        <v>53</v>
      </c>
      <c r="B57" s="6" t="str">
        <v>buy tongka</v>
      </c>
      <c r="C57" s="7">
        <v>0</v>
      </c>
      <c r="D57" s="7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9">
        <f>SUM(C57:Z57)</f>
      </c>
      <c r="AB57" s="8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5">
        <v>54</v>
      </c>
      <c r="B58" s="6" t="str">
        <v>Gober</v>
      </c>
      <c r="C58" s="7">
        <v>0</v>
      </c>
      <c r="D58" s="7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9">
        <f>SUM(C58:Z58)</f>
      </c>
      <c r="AB58" s="8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5">
        <v>55</v>
      </c>
      <c r="B59" s="6" t="str">
        <v>caniago</v>
      </c>
      <c r="C59" s="7">
        <v>0</v>
      </c>
      <c r="D59" s="7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9">
        <f>SUM(C59:Z59)</f>
      </c>
      <c r="AB59" s="8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5">
        <v>56</v>
      </c>
      <c r="B60" s="6" t="str">
        <v>Ana Mega</v>
      </c>
      <c r="C60" s="7">
        <v>0</v>
      </c>
      <c r="D60" s="7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9">
        <f>SUM(C60:Z60)</f>
      </c>
      <c r="AB60" s="8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5">
        <v>57</v>
      </c>
      <c r="B61" s="6" t="str">
        <v>anasta</v>
      </c>
      <c r="C61" s="7">
        <v>0</v>
      </c>
      <c r="D61" s="7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9">
        <f>SUM(C61:Z61)</f>
      </c>
      <c r="AB61" s="8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5">
        <v>58</v>
      </c>
      <c r="B62" s="6" t="str">
        <v>Mr. Eko</v>
      </c>
      <c r="C62" s="7">
        <v>0</v>
      </c>
      <c r="D62" s="7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9">
        <f>SUM(C62:Z62)</f>
      </c>
      <c r="AB62" s="8">
        <v>0</v>
      </c>
      <c r="AC62" s="3">
        <f>MIN(3, SUMPRODUCT((MOD(Streak!C62:Z62,5)=0)*(MOD(Streak!C62:Z62,10)&lt;&gt;0)*(Streak!C62:Z62&gt;0))) * 5</f>
      </c>
      <c r="AD62" s="3">
        <f>MIN(2, SUMPRODUCT((MOD(Streak!C62:Z62,10)=0)*(Streak!C62:Z62&gt;0))) * 20</f>
      </c>
      <c r="AE62" s="4">
        <f>SUM(AC62:AD62)</f>
      </c>
    </row>
    <row customHeight="true" ht="19" r="63">
      <c r="A63" s="5">
        <v>59</v>
      </c>
      <c r="B63" s="6" t="str">
        <v>Kurnia</v>
      </c>
      <c r="C63" s="7">
        <v>0</v>
      </c>
      <c r="D63" s="7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9">
        <f>SUM(C63:Z63)</f>
      </c>
      <c r="AB63" s="8">
        <v>0</v>
      </c>
      <c r="AC63" s="3">
        <f>MIN(3, SUMPRODUCT((MOD(Streak!C63:Z63,5)=0)*(MOD(Streak!C63:Z63,10)&lt;&gt;0)*(Streak!C63:Z63&gt;0))) * 5</f>
      </c>
      <c r="AD63" s="3">
        <f>MIN(2, SUMPRODUCT((MOD(Streak!C63:Z63,10)=0)*(Streak!C63:Z63&gt;0))) * 20</f>
      </c>
      <c r="AE63" s="4">
        <f>SUM(AC63:AD63)</f>
      </c>
    </row>
    <row customHeight="true" ht="19" r="64">
      <c r="A64" s="5">
        <v>60</v>
      </c>
      <c r="B64" s="6" t="str">
        <v>Yura Audi</v>
      </c>
      <c r="C64" s="7">
        <v>0</v>
      </c>
      <c r="D64" s="7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9">
        <f>SUM(C64:Z64)</f>
      </c>
      <c r="AB64" s="8">
        <v>0</v>
      </c>
      <c r="AC64" s="3">
        <f>MIN(3, SUMPRODUCT((MOD(Streak!C64:Z64,5)=0)*(MOD(Streak!C64:Z64,10)&lt;&gt;0)*(Streak!C64:Z64&gt;0))) * 5</f>
      </c>
      <c r="AD64" s="3">
        <f>MIN(2, SUMPRODUCT((MOD(Streak!C64:Z64,10)=0)*(Streak!C64:Z64&gt;0))) * 20</f>
      </c>
      <c r="AE64" s="4">
        <f>SUM(AC64:AD64)</f>
      </c>
    </row>
    <row customHeight="true" ht="19" r="65">
      <c r="A65" s="5"/>
      <c r="B65" s="6"/>
      <c r="C65" s="7"/>
      <c r="D65" s="7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9"/>
      <c r="AB65" s="8"/>
      <c r="AC65" s="3"/>
      <c r="AD65" s="3"/>
      <c r="AE65" s="4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</sheetData>
  <mergeCells>
    <mergeCell ref="AA2:AA3"/>
    <mergeCell ref="AB2:AB3"/>
    <mergeCell ref="AC2:AC3"/>
    <mergeCell ref="AD2:AD3"/>
    <mergeCell ref="AE2:AE3"/>
    <mergeCell ref="A2:B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tr">
        <v>MEMBER</v>
      </c>
      <c r="B2" s="12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6" t="s">
        <v>3</v>
      </c>
      <c r="AD2" s="16" t="s">
        <v>2</v>
      </c>
      <c r="AE2" s="17" t="s">
        <v>1</v>
      </c>
      <c r="AF2" s="37" t="s">
        <v>4</v>
      </c>
    </row>
    <row r="3">
      <c r="A3" s="12"/>
      <c r="B3" s="12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23"/>
      <c r="AB3" s="22"/>
      <c r="AC3" s="16"/>
      <c r="AD3" s="16"/>
      <c r="AE3" s="17"/>
      <c r="AF3" s="37"/>
    </row>
    <row r="4">
      <c r="A4" s="20" t="str">
        <v>
</v>
      </c>
      <c r="B4" s="19" t="str">
        <v>TOTAL</v>
      </c>
      <c r="C4" s="33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34" t="str">
        <v>
</v>
      </c>
      <c r="AC4" s="34" t="str">
        <v>
</v>
      </c>
      <c r="AD4" s="34" t="str">
        <v>
</v>
      </c>
      <c r="AE4" s="35">
        <v>0</v>
      </c>
      <c r="AF4" s="36"/>
    </row>
    <row r="5">
      <c r="A5" s="11">
        <v>1</v>
      </c>
      <c r="B5" s="30" t="str">
        <v>Radensaleh</v>
      </c>
      <c r="C5" s="28">
        <f>IF('List Ticket'!C5=1, 1, 0)</f>
      </c>
      <c r="D5" s="26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9">
        <f>SUM(C5:Z5)</f>
      </c>
      <c r="AB5" s="27">
        <v>1</v>
      </c>
      <c r="AC5" s="25">
        <v>0</v>
      </c>
      <c r="AD5" s="25">
        <v>0</v>
      </c>
      <c r="AE5" s="32">
        <v>0</v>
      </c>
      <c r="AF5" s="31">
        <v>1</v>
      </c>
    </row>
    <row r="6">
      <c r="A6" s="11">
        <v>2</v>
      </c>
      <c r="B6" s="30" t="str">
        <v>Chepot</v>
      </c>
      <c r="C6" s="28">
        <f>IF('List Ticket'!C6=1, 1, 0)</f>
      </c>
      <c r="D6" s="26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9">
        <f>SUM(C6:Z6)</f>
      </c>
      <c r="AB6" s="27">
        <v>1</v>
      </c>
      <c r="AC6" s="25">
        <v>0</v>
      </c>
      <c r="AD6" s="25">
        <v>0</v>
      </c>
      <c r="AE6" s="32">
        <v>0</v>
      </c>
      <c r="AF6" s="31">
        <v>1</v>
      </c>
    </row>
    <row r="7">
      <c r="A7" s="11">
        <v>3</v>
      </c>
      <c r="B7" s="30" t="str">
        <v>irvin_1548314</v>
      </c>
      <c r="C7" s="28">
        <f>IF('List Ticket'!C7=1, 1, 0)</f>
      </c>
      <c r="D7" s="26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9">
        <f>SUM(C7:Z7)</f>
      </c>
      <c r="AB7" s="27">
        <v>1</v>
      </c>
      <c r="AC7" s="25">
        <v>0</v>
      </c>
      <c r="AD7" s="25">
        <v>0</v>
      </c>
      <c r="AE7" s="32">
        <v>0</v>
      </c>
      <c r="AF7" s="31">
        <v>1</v>
      </c>
    </row>
    <row r="8">
      <c r="A8" s="11">
        <v>4</v>
      </c>
      <c r="B8" s="30" t="str">
        <v>efrio</v>
      </c>
      <c r="C8" s="28">
        <f>IF('List Ticket'!C8=1, 1, 0)</f>
      </c>
      <c r="D8" s="26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9">
        <f>SUM(C8:Z8)</f>
      </c>
      <c r="AB8" s="27">
        <v>1</v>
      </c>
      <c r="AC8" s="25">
        <v>0</v>
      </c>
      <c r="AD8" s="25">
        <v>0</v>
      </c>
      <c r="AE8" s="32">
        <v>0</v>
      </c>
      <c r="AF8" s="31">
        <v>1</v>
      </c>
    </row>
    <row r="9">
      <c r="A9" s="11">
        <v>5</v>
      </c>
      <c r="B9" s="30" t="str">
        <v>yupid</v>
      </c>
      <c r="C9" s="28">
        <f>IF('List Ticket'!C9=1, 1, 0)</f>
      </c>
      <c r="D9" s="26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9">
        <f>SUM(C9:Z9)</f>
      </c>
      <c r="AB9" s="27">
        <v>1</v>
      </c>
      <c r="AC9" s="25">
        <v>0</v>
      </c>
      <c r="AD9" s="25">
        <v>0</v>
      </c>
      <c r="AE9" s="32">
        <v>0</v>
      </c>
      <c r="AF9" s="31">
        <v>1</v>
      </c>
    </row>
    <row r="10">
      <c r="A10" s="11">
        <v>6</v>
      </c>
      <c r="B10" s="30" t="str">
        <v>kilek</v>
      </c>
      <c r="C10" s="28">
        <f>IF('List Ticket'!C10=1, 1, 0)</f>
      </c>
      <c r="D10" s="26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9">
        <f>SUM(C10:Z10)</f>
      </c>
      <c r="AB10" s="27">
        <v>1</v>
      </c>
      <c r="AC10" s="25">
        <v>0</v>
      </c>
      <c r="AD10" s="25">
        <v>0</v>
      </c>
      <c r="AE10" s="32">
        <v>0</v>
      </c>
      <c r="AF10" s="31">
        <v>1</v>
      </c>
    </row>
    <row r="11">
      <c r="A11" s="11">
        <v>7</v>
      </c>
      <c r="B11" s="30" t="str">
        <v>Profit</v>
      </c>
      <c r="C11" s="28">
        <f>IF('List Ticket'!C11=1, 1, 0)</f>
      </c>
      <c r="D11" s="26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9">
        <f>SUM(C11:Z11)</f>
      </c>
      <c r="AB11" s="27">
        <v>1</v>
      </c>
      <c r="AC11" s="25">
        <v>0</v>
      </c>
      <c r="AD11" s="25">
        <v>0</v>
      </c>
      <c r="AE11" s="32">
        <v>0</v>
      </c>
      <c r="AF11" s="31">
        <v>1</v>
      </c>
    </row>
    <row r="12">
      <c r="A12" s="11">
        <v>8</v>
      </c>
      <c r="B12" s="30" t="str">
        <v>R389</v>
      </c>
      <c r="C12" s="28">
        <f>IF('List Ticket'!C12=1, 1, 0)</f>
      </c>
      <c r="D12" s="26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9">
        <f>SUM(C12:Z12)</f>
      </c>
      <c r="AB12" s="27">
        <v>1</v>
      </c>
      <c r="AC12" s="25">
        <v>0</v>
      </c>
      <c r="AD12" s="25">
        <v>0</v>
      </c>
      <c r="AE12" s="32">
        <v>0</v>
      </c>
      <c r="AF12" s="31">
        <v>1</v>
      </c>
    </row>
    <row r="13">
      <c r="A13" s="11">
        <v>9</v>
      </c>
      <c r="B13" s="30" t="str">
        <v>Egen</v>
      </c>
      <c r="C13" s="28">
        <f>IF('List Ticket'!C13=1, 1, 0)</f>
      </c>
      <c r="D13" s="26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9">
        <f>SUM(C13:Z13)</f>
      </c>
      <c r="AB13" s="27">
        <v>1</v>
      </c>
      <c r="AC13" s="25">
        <v>0</v>
      </c>
      <c r="AD13" s="25">
        <v>0</v>
      </c>
      <c r="AE13" s="32">
        <v>0</v>
      </c>
      <c r="AF13" s="31">
        <v>1</v>
      </c>
    </row>
    <row r="14">
      <c r="A14" s="11">
        <v>10</v>
      </c>
      <c r="B14" s="30" t="str">
        <v>JADE KING</v>
      </c>
      <c r="C14" s="28">
        <f>IF('List Ticket'!C14=1, 1, 0)</f>
      </c>
      <c r="D14" s="26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9">
        <f>SUM(C14:Z14)</f>
      </c>
      <c r="AB14" s="27">
        <v>1</v>
      </c>
      <c r="AC14" s="25">
        <v>0</v>
      </c>
      <c r="AD14" s="25">
        <v>0</v>
      </c>
      <c r="AE14" s="32">
        <v>0</v>
      </c>
      <c r="AF14" s="31">
        <v>1</v>
      </c>
    </row>
    <row r="15">
      <c r="A15" s="11">
        <v>11</v>
      </c>
      <c r="B15" s="30" t="str">
        <v>AV</v>
      </c>
      <c r="C15" s="28">
        <f>IF('List Ticket'!C15=1, 1, 0)</f>
      </c>
      <c r="D15" s="26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9">
        <f>SUM(C15:Z15)</f>
      </c>
      <c r="AB15" s="27">
        <v>1</v>
      </c>
      <c r="AC15" s="25">
        <v>0</v>
      </c>
      <c r="AD15" s="25">
        <v>0</v>
      </c>
      <c r="AE15" s="32">
        <v>0</v>
      </c>
      <c r="AF15" s="31">
        <v>1</v>
      </c>
    </row>
    <row r="16">
      <c r="A16" s="11">
        <v>12</v>
      </c>
      <c r="B16" s="30" t="str">
        <v>Yul Riadi</v>
      </c>
      <c r="C16" s="28">
        <f>IF('List Ticket'!C16=1, 1, 0)</f>
      </c>
      <c r="D16" s="26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9">
        <f>SUM(C16:Z16)</f>
      </c>
      <c r="AB16" s="27">
        <v>1</v>
      </c>
      <c r="AC16" s="25">
        <v>0</v>
      </c>
      <c r="AD16" s="25">
        <v>0</v>
      </c>
      <c r="AE16" s="32">
        <v>0</v>
      </c>
      <c r="AF16" s="31">
        <v>1</v>
      </c>
    </row>
    <row r="17">
      <c r="A17" s="11">
        <v>13</v>
      </c>
      <c r="B17" s="30" t="str">
        <v>BSMLH_CUAN</v>
      </c>
      <c r="C17" s="28">
        <f>IF('List Ticket'!C17=1, 1, 0)</f>
      </c>
      <c r="D17" s="26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9">
        <f>SUM(C17:Z17)</f>
      </c>
      <c r="AB17" s="27">
        <v>1</v>
      </c>
      <c r="AC17" s="25">
        <v>0</v>
      </c>
      <c r="AD17" s="25">
        <v>0</v>
      </c>
      <c r="AE17" s="32">
        <v>0</v>
      </c>
      <c r="AF17" s="31">
        <v>1</v>
      </c>
    </row>
    <row r="18">
      <c r="A18" s="11">
        <v>14</v>
      </c>
      <c r="B18" s="30" t="str">
        <v>Maya</v>
      </c>
      <c r="C18" s="28">
        <f>IF('List Ticket'!C18=1, 1, 0)</f>
      </c>
      <c r="D18" s="26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9">
        <f>SUM(C18:Z18)</f>
      </c>
      <c r="AB18" s="27">
        <v>1</v>
      </c>
      <c r="AC18" s="25">
        <v>0</v>
      </c>
      <c r="AD18" s="25">
        <v>0</v>
      </c>
      <c r="AE18" s="32">
        <v>0</v>
      </c>
      <c r="AF18" s="31">
        <v>1</v>
      </c>
    </row>
    <row r="19">
      <c r="A19" s="11">
        <v>15</v>
      </c>
      <c r="B19" s="30" t="str">
        <v>Mich</v>
      </c>
      <c r="C19" s="28">
        <f>IF('List Ticket'!C19=1, 1, 0)</f>
      </c>
      <c r="D19" s="26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9">
        <f>SUM(C19:Z19)</f>
      </c>
      <c r="AB19" s="27">
        <v>1</v>
      </c>
      <c r="AC19" s="25">
        <v>0</v>
      </c>
      <c r="AD19" s="25">
        <v>0</v>
      </c>
      <c r="AE19" s="32">
        <v>0</v>
      </c>
      <c r="AF19" s="31">
        <v>1</v>
      </c>
    </row>
    <row r="20">
      <c r="A20" s="11">
        <v>16</v>
      </c>
      <c r="B20" s="30" t="str">
        <v>hyph90</v>
      </c>
      <c r="C20" s="28">
        <f>IF('List Ticket'!C20=1, 1, 0)</f>
      </c>
      <c r="D20" s="26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9">
        <f>SUM(C20:Z20)</f>
      </c>
      <c r="AB20" s="27">
        <v>1</v>
      </c>
      <c r="AC20" s="25">
        <v>0</v>
      </c>
      <c r="AD20" s="25">
        <v>0</v>
      </c>
      <c r="AE20" s="32">
        <v>0</v>
      </c>
      <c r="AF20" s="31">
        <v>1</v>
      </c>
    </row>
    <row r="21">
      <c r="A21" s="11">
        <v>17</v>
      </c>
      <c r="B21" s="30" t="str">
        <v>CLOVER</v>
      </c>
      <c r="C21" s="28">
        <f>IF('List Ticket'!C21=1, 1, 0)</f>
      </c>
      <c r="D21" s="26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9">
        <f>SUM(C21:Z21)</f>
      </c>
      <c r="AB21" s="27">
        <v>1</v>
      </c>
      <c r="AC21" s="25">
        <v>0</v>
      </c>
      <c r="AD21" s="25">
        <v>0</v>
      </c>
      <c r="AE21" s="32">
        <v>0</v>
      </c>
      <c r="AF21" s="31">
        <v>1</v>
      </c>
    </row>
    <row r="22">
      <c r="A22" s="11">
        <v>18</v>
      </c>
      <c r="B22" s="30" t="str">
        <v>Hanya G</v>
      </c>
      <c r="C22" s="28">
        <f>IF('List Ticket'!C22=1, 1, 0)</f>
      </c>
      <c r="D22" s="26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9">
        <f>SUM(C22:Z22)</f>
      </c>
      <c r="AB22" s="27">
        <v>1</v>
      </c>
      <c r="AC22" s="25">
        <v>0</v>
      </c>
      <c r="AD22" s="25">
        <v>0</v>
      </c>
      <c r="AE22" s="32">
        <v>0</v>
      </c>
      <c r="AF22" s="31">
        <v>1</v>
      </c>
    </row>
    <row r="23">
      <c r="A23" s="11">
        <v>19</v>
      </c>
      <c r="B23" s="30" t="str">
        <v>Nilla Sahkrisna</v>
      </c>
      <c r="C23" s="28">
        <f>IF('List Ticket'!C23=1, 1, 0)</f>
      </c>
      <c r="D23" s="26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9">
        <f>SUM(C23:Z23)</f>
      </c>
      <c r="AB23" s="27">
        <v>1</v>
      </c>
      <c r="AC23" s="25">
        <v>0</v>
      </c>
      <c r="AD23" s="25">
        <v>0</v>
      </c>
      <c r="AE23" s="32">
        <v>0</v>
      </c>
      <c r="AF23" s="31">
        <v>1</v>
      </c>
    </row>
    <row r="24">
      <c r="A24" s="11">
        <v>20</v>
      </c>
      <c r="B24" s="30" t="str">
        <v>Gugum</v>
      </c>
      <c r="C24" s="28">
        <f>IF('List Ticket'!C24=1, 1, 0)</f>
      </c>
      <c r="D24" s="26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9">
        <f>SUM(C24:Z24)</f>
      </c>
      <c r="AB24" s="27">
        <v>1</v>
      </c>
      <c r="AC24" s="25">
        <v>0</v>
      </c>
      <c r="AD24" s="25">
        <v>0</v>
      </c>
      <c r="AE24" s="32">
        <v>0</v>
      </c>
      <c r="AF24" s="31">
        <v>1</v>
      </c>
    </row>
    <row r="25">
      <c r="A25" s="11">
        <v>21</v>
      </c>
      <c r="B25" s="30" t="str">
        <v>Pak Ogah</v>
      </c>
      <c r="C25" s="28">
        <f>IF('List Ticket'!C25=1, 1, 0)</f>
      </c>
      <c r="D25" s="26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9">
        <f>SUM(C25:Z25)</f>
      </c>
      <c r="AB25" s="27">
        <v>1</v>
      </c>
      <c r="AC25" s="25">
        <v>0</v>
      </c>
      <c r="AD25" s="25">
        <v>0</v>
      </c>
      <c r="AE25" s="32">
        <v>0</v>
      </c>
      <c r="AF25" s="31">
        <v>1</v>
      </c>
    </row>
    <row r="26">
      <c r="A26" s="11">
        <v>22</v>
      </c>
      <c r="B26" s="30" t="str">
        <v>Yoshi</v>
      </c>
      <c r="C26" s="28">
        <f>IF('List Ticket'!C26=1, 1, 0)</f>
      </c>
      <c r="D26" s="26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9">
        <f>SUM(C26:Z26)</f>
      </c>
      <c r="AB26" s="27">
        <v>1</v>
      </c>
      <c r="AC26" s="25">
        <v>0</v>
      </c>
      <c r="AD26" s="25">
        <v>0</v>
      </c>
      <c r="AE26" s="32">
        <v>0</v>
      </c>
      <c r="AF26" s="31">
        <v>1</v>
      </c>
    </row>
    <row r="27">
      <c r="A27" s="11">
        <v>23</v>
      </c>
      <c r="B27" s="30" t="str">
        <v>Ennang</v>
      </c>
      <c r="C27" s="28">
        <f>IF('List Ticket'!C27=1, 1, 0)</f>
      </c>
      <c r="D27" s="26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9">
        <f>SUM(C27:Z27)</f>
      </c>
      <c r="AB27" s="27">
        <v>1</v>
      </c>
      <c r="AC27" s="25">
        <v>0</v>
      </c>
      <c r="AD27" s="25">
        <v>0</v>
      </c>
      <c r="AE27" s="32">
        <v>0</v>
      </c>
      <c r="AF27" s="31">
        <v>1</v>
      </c>
    </row>
    <row r="28">
      <c r="A28" s="11">
        <v>24</v>
      </c>
      <c r="B28" s="30" t="str">
        <v>Mr. CuanTrus</v>
      </c>
      <c r="C28" s="28">
        <f>IF('List Ticket'!C28=1, 1, 0)</f>
      </c>
      <c r="D28" s="26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9">
        <f>SUM(C28:Z28)</f>
      </c>
      <c r="AB28" s="27">
        <v>1</v>
      </c>
      <c r="AC28" s="25">
        <v>0</v>
      </c>
      <c r="AD28" s="25">
        <v>0</v>
      </c>
      <c r="AE28" s="32">
        <v>0</v>
      </c>
      <c r="AF28" s="31">
        <v>1</v>
      </c>
    </row>
    <row r="29">
      <c r="A29" s="11">
        <v>25</v>
      </c>
      <c r="B29" s="30" t="str">
        <v>SETELANCUAN</v>
      </c>
      <c r="C29" s="28">
        <f>IF('List Ticket'!C29=1, 1, 0)</f>
      </c>
      <c r="D29" s="26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9">
        <f>SUM(C29:Z29)</f>
      </c>
      <c r="AB29" s="27">
        <v>1</v>
      </c>
      <c r="AC29" s="25">
        <v>0</v>
      </c>
      <c r="AD29" s="25">
        <v>0</v>
      </c>
      <c r="AE29" s="32">
        <v>0</v>
      </c>
      <c r="AF29" s="31">
        <v>1</v>
      </c>
    </row>
    <row r="30">
      <c r="A30" s="11">
        <v>26</v>
      </c>
      <c r="B30" s="30" t="str">
        <v>Alfath</v>
      </c>
      <c r="C30" s="28">
        <f>IF('List Ticket'!C30=1, 1, 0)</f>
      </c>
      <c r="D30" s="26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9">
        <f>SUM(C30:Z30)</f>
      </c>
      <c r="AB30" s="27">
        <v>1</v>
      </c>
      <c r="AC30" s="25">
        <v>0</v>
      </c>
      <c r="AD30" s="25">
        <v>0</v>
      </c>
      <c r="AE30" s="32">
        <v>0</v>
      </c>
      <c r="AF30" s="31">
        <v>1</v>
      </c>
    </row>
    <row r="31">
      <c r="A31" s="11">
        <v>27</v>
      </c>
      <c r="B31" s="30" t="str">
        <v>Azi</v>
      </c>
      <c r="C31" s="28">
        <f>IF('List Ticket'!C31=1, 1, 0)</f>
      </c>
      <c r="D31" s="26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9">
        <f>SUM(C31:Z31)</f>
      </c>
      <c r="AB31" s="27">
        <v>1</v>
      </c>
      <c r="AC31" s="25">
        <v>0</v>
      </c>
      <c r="AD31" s="25">
        <v>0</v>
      </c>
      <c r="AE31" s="32">
        <v>0</v>
      </c>
      <c r="AF31" s="31">
        <v>1</v>
      </c>
    </row>
    <row r="32">
      <c r="A32" s="11">
        <v>28</v>
      </c>
      <c r="B32" s="30" t="str">
        <v>Adimaya79</v>
      </c>
      <c r="C32" s="28">
        <f>IF('List Ticket'!C32=1, 1, 0)</f>
      </c>
      <c r="D32" s="26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9">
        <f>SUM(C32:Z32)</f>
      </c>
      <c r="AB32" s="27">
        <v>1</v>
      </c>
      <c r="AC32" s="25">
        <v>0</v>
      </c>
      <c r="AD32" s="25">
        <v>0</v>
      </c>
      <c r="AE32" s="32">
        <v>0</v>
      </c>
      <c r="AF32" s="31">
        <v>1</v>
      </c>
    </row>
    <row r="33">
      <c r="A33" s="11">
        <v>29</v>
      </c>
      <c r="B33" s="30" t="str">
        <v>Bonnino</v>
      </c>
      <c r="C33" s="28">
        <f>IF('List Ticket'!C33=1, 1, 0)</f>
      </c>
      <c r="D33" s="26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9">
        <f>SUM(C33:Z33)</f>
      </c>
      <c r="AB33" s="27">
        <v>1</v>
      </c>
      <c r="AC33" s="25">
        <v>0</v>
      </c>
      <c r="AD33" s="25">
        <v>0</v>
      </c>
      <c r="AE33" s="32">
        <v>0</v>
      </c>
      <c r="AF33" s="31">
        <v>1</v>
      </c>
    </row>
    <row r="34">
      <c r="A34" s="11">
        <v>30</v>
      </c>
      <c r="B34" s="30" t="str">
        <v>Hui Soen Kiong</v>
      </c>
      <c r="C34" s="28">
        <f>IF('List Ticket'!C34=1, 1, 0)</f>
      </c>
      <c r="D34" s="26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9">
        <f>SUM(C34:Z34)</f>
      </c>
      <c r="AB34" s="27">
        <v>1</v>
      </c>
      <c r="AC34" s="25">
        <v>0</v>
      </c>
      <c r="AD34" s="25">
        <v>0</v>
      </c>
      <c r="AE34" s="32">
        <v>0</v>
      </c>
      <c r="AF34" s="31">
        <v>1</v>
      </c>
    </row>
    <row r="35">
      <c r="A35" s="5">
        <v>31</v>
      </c>
      <c r="B35" s="38" t="str">
        <v>JAMberAPA12</v>
      </c>
      <c r="C35" s="28">
        <f>IF('List Ticket'!C35=1, 1, 0)</f>
      </c>
      <c r="D35" s="26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9">
        <f>SUM(C35:Z35)</f>
      </c>
      <c r="AB35" s="39"/>
      <c r="AC35" s="39"/>
      <c r="AD35" s="39"/>
      <c r="AE35" s="39"/>
      <c r="AF35" s="39"/>
    </row>
    <row r="36">
      <c r="A36" s="5">
        <v>32</v>
      </c>
      <c r="B36" s="38" t="str">
        <v>FerryGood</v>
      </c>
      <c r="C36" s="28">
        <f>IF('List Ticket'!C36=1, 1, 0)</f>
      </c>
      <c r="D36" s="26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9">
        <f>SUM(C36:Z36)</f>
      </c>
      <c r="AB36" s="39"/>
      <c r="AC36" s="39"/>
      <c r="AD36" s="39"/>
      <c r="AE36" s="39"/>
      <c r="AF36" s="39"/>
    </row>
    <row r="37">
      <c r="A37" s="5">
        <v>33</v>
      </c>
      <c r="B37" s="38" t="str">
        <v>messiLeo</v>
      </c>
      <c r="C37" s="28">
        <f>IF('List Ticket'!C37=1, 1, 0)</f>
      </c>
      <c r="D37" s="26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9">
        <f>SUM(C37:Z37)</f>
      </c>
      <c r="AB37" s="39"/>
      <c r="AC37" s="39"/>
      <c r="AD37" s="39"/>
      <c r="AE37" s="39"/>
      <c r="AF37" s="39"/>
    </row>
    <row r="38">
      <c r="A38" s="5">
        <v>34</v>
      </c>
      <c r="B38" s="38" t="str">
        <v>KepomponG✅</v>
      </c>
      <c r="C38" s="28">
        <f>IF('List Ticket'!C38=1, 1, 0)</f>
      </c>
      <c r="D38" s="26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9">
        <f>SUM(C38:Z38)</f>
      </c>
      <c r="AB38" s="39"/>
      <c r="AC38" s="39"/>
      <c r="AD38" s="39"/>
      <c r="AE38" s="39"/>
      <c r="AF38" s="39"/>
    </row>
    <row r="39">
      <c r="A39" s="5">
        <v>35</v>
      </c>
      <c r="B39" s="38" t="str" xml:space="preserve">
        <v>Yuli </v>
      </c>
      <c r="C39" s="28">
        <f>IF('List Ticket'!C39=1, 1, 0)</f>
      </c>
      <c r="D39" s="26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9">
        <f>SUM(C39:Z39)</f>
      </c>
      <c r="AB39" s="39"/>
      <c r="AC39" s="39"/>
      <c r="AD39" s="39"/>
      <c r="AE39" s="39"/>
      <c r="AF39" s="39"/>
    </row>
    <row r="40">
      <c r="A40" s="5">
        <v>36</v>
      </c>
      <c r="B40" s="38" t="str">
        <v>GELPHY ✅</v>
      </c>
      <c r="C40" s="28">
        <f>IF('List Ticket'!C40=1, 1, 0)</f>
      </c>
      <c r="D40" s="26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9">
        <f>SUM(C40:Z40)</f>
      </c>
      <c r="AB40" s="39"/>
      <c r="AC40" s="39"/>
      <c r="AD40" s="39"/>
      <c r="AE40" s="39"/>
      <c r="AF40" s="39"/>
    </row>
    <row r="41">
      <c r="A41" s="5">
        <v>37</v>
      </c>
      <c r="B41" s="38" t="str">
        <v>Darso</v>
      </c>
      <c r="C41" s="28">
        <f>IF('List Ticket'!C41=1, 1, 0)</f>
      </c>
      <c r="D41" s="26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9">
        <f>SUM(C41:Z41)</f>
      </c>
      <c r="AB41" s="39"/>
      <c r="AC41" s="39"/>
      <c r="AD41" s="39"/>
      <c r="AE41" s="39"/>
      <c r="AF41" s="39"/>
    </row>
    <row r="42">
      <c r="A42" s="5">
        <v>38</v>
      </c>
      <c r="B42" s="38" t="str">
        <v>Zuna76</v>
      </c>
      <c r="C42" s="28">
        <f>IF('List Ticket'!C42=1, 1, 0)</f>
      </c>
      <c r="D42" s="26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9">
        <f>SUM(C42:Z42)</f>
      </c>
      <c r="AB42" s="39"/>
      <c r="AC42" s="39"/>
      <c r="AD42" s="39"/>
      <c r="AE42" s="39"/>
      <c r="AF42" s="39"/>
    </row>
    <row r="43">
      <c r="A43" s="5">
        <v>39</v>
      </c>
      <c r="B43" s="38" t="str">
        <v>peyeri1906</v>
      </c>
      <c r="C43" s="28">
        <f>IF('List Ticket'!C43=1, 1, 0)</f>
      </c>
      <c r="D43" s="26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9">
        <f>SUM(C43:Z43)</f>
      </c>
      <c r="AB43" s="39"/>
      <c r="AC43" s="39"/>
      <c r="AD43" s="39"/>
      <c r="AE43" s="39"/>
      <c r="AF43" s="39"/>
    </row>
    <row r="44">
      <c r="A44" s="5">
        <v>40</v>
      </c>
      <c r="B44" s="38" t="str">
        <v>Lani</v>
      </c>
      <c r="C44" s="28">
        <f>IF('List Ticket'!C44=1, 1, 0)</f>
      </c>
      <c r="D44" s="26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9">
        <f>SUM(C44:Z44)</f>
      </c>
      <c r="AB44" s="39"/>
      <c r="AC44" s="39"/>
      <c r="AD44" s="39"/>
      <c r="AE44" s="39"/>
      <c r="AF44" s="39"/>
    </row>
    <row r="45">
      <c r="A45" s="5">
        <v>41</v>
      </c>
      <c r="B45" s="38" t="str">
        <v>mytradding</v>
      </c>
      <c r="C45" s="28">
        <f>IF('List Ticket'!C45=1, 1, 0)</f>
      </c>
      <c r="D45" s="26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9">
        <f>SUM(C45:Z45)</f>
      </c>
      <c r="AB45" s="39"/>
      <c r="AC45" s="39"/>
      <c r="AD45" s="39"/>
      <c r="AE45" s="39"/>
      <c r="AF45" s="39"/>
    </row>
    <row r="46">
      <c r="A46" s="5">
        <v>42</v>
      </c>
      <c r="B46" s="38" t="str">
        <v>Bejo09</v>
      </c>
      <c r="C46" s="28">
        <f>IF('List Ticket'!C46=1, 1, 0)</f>
      </c>
      <c r="D46" s="26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9">
        <f>SUM(C46:Z46)</f>
      </c>
      <c r="AB46" s="39"/>
      <c r="AC46" s="39"/>
      <c r="AD46" s="39"/>
      <c r="AE46" s="39"/>
      <c r="AF46" s="39"/>
    </row>
    <row r="47">
      <c r="A47" s="5">
        <v>43</v>
      </c>
      <c r="B47" s="38" t="str" xml:space="preserve">
        <v>FAAHAS </v>
      </c>
      <c r="C47" s="28">
        <f>IF('List Ticket'!C47=1, 1, 0)</f>
      </c>
      <c r="D47" s="26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9">
        <f>SUM(C47:Z47)</f>
      </c>
      <c r="AB47" s="39"/>
      <c r="AC47" s="39"/>
      <c r="AD47" s="39"/>
      <c r="AE47" s="39"/>
      <c r="AF47" s="39"/>
    </row>
    <row r="48">
      <c r="A48" s="5">
        <v>44</v>
      </c>
      <c r="B48" s="38" t="str">
        <v>Mr.Eko</v>
      </c>
      <c r="C48" s="28">
        <f>IF('List Ticket'!C48=1, 1, 0)</f>
      </c>
      <c r="D48" s="26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9">
        <f>SUM(C48:Z48)</f>
      </c>
      <c r="AB48" s="39"/>
      <c r="AC48" s="39"/>
      <c r="AD48" s="39"/>
      <c r="AE48" s="39"/>
      <c r="AF48" s="39"/>
    </row>
    <row r="49">
      <c r="A49" s="5">
        <v>45</v>
      </c>
      <c r="B49" s="38" t="str">
        <v>ernaeky788</v>
      </c>
      <c r="C49" s="28">
        <f>IF('List Ticket'!C49=1, 1, 0)</f>
      </c>
      <c r="D49" s="26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9">
        <f>SUM(C49:Z49)</f>
      </c>
      <c r="AB49" s="39"/>
      <c r="AC49" s="39"/>
      <c r="AD49" s="39"/>
      <c r="AE49" s="39"/>
      <c r="AF49" s="39"/>
    </row>
    <row r="50">
      <c r="A50" s="5">
        <v>46</v>
      </c>
      <c r="B50" s="38" t="str">
        <v>Cuan XRP</v>
      </c>
      <c r="C50" s="28">
        <f>IF('List Ticket'!C50=1, 1, 0)</f>
      </c>
      <c r="D50" s="26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9">
        <f>SUM(C50:Z50)</f>
      </c>
      <c r="AB50" s="39"/>
      <c r="AC50" s="39"/>
      <c r="AD50" s="39"/>
      <c r="AE50" s="39"/>
      <c r="AF50" s="39"/>
    </row>
    <row r="51">
      <c r="A51" s="5">
        <v>47</v>
      </c>
      <c r="B51" s="38" t="str">
        <v>MUHAMMAD NASRULLAH</v>
      </c>
      <c r="C51" s="28">
        <f>IF('List Ticket'!C51=1, 1, 0)</f>
      </c>
      <c r="D51" s="26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9">
        <f>SUM(C51:Z51)</f>
      </c>
      <c r="AB51" s="39"/>
      <c r="AC51" s="39"/>
      <c r="AD51" s="39"/>
      <c r="AE51" s="39"/>
      <c r="AF51" s="39"/>
    </row>
    <row r="52">
      <c r="A52" s="5">
        <v>48</v>
      </c>
      <c r="B52" s="38" t="str">
        <v>Tjoei Lan</v>
      </c>
      <c r="C52" s="28">
        <f>IF('List Ticket'!C52=1, 1, 0)</f>
      </c>
      <c r="D52" s="26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9">
        <f>SUM(C52:Z52)</f>
      </c>
      <c r="AB52" s="39"/>
      <c r="AC52" s="39"/>
      <c r="AD52" s="39"/>
      <c r="AE52" s="39"/>
      <c r="AF52" s="39"/>
    </row>
    <row r="53">
      <c r="A53" s="5">
        <v>49</v>
      </c>
      <c r="B53" s="38" t="str">
        <v>Syamsultan</v>
      </c>
      <c r="C53" s="28">
        <f>IF('List Ticket'!C53=1, 1, 0)</f>
      </c>
      <c r="D53" s="26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9">
        <f>SUM(C53:Z53)</f>
      </c>
      <c r="AB53" s="39"/>
      <c r="AC53" s="39"/>
      <c r="AD53" s="39"/>
      <c r="AE53" s="39"/>
      <c r="AF53" s="39"/>
    </row>
    <row r="54">
      <c r="A54" s="5">
        <v>50</v>
      </c>
      <c r="B54" s="38" t="str">
        <v>INDRAWAN</v>
      </c>
      <c r="C54" s="28">
        <f>IF('List Ticket'!C54=1, 1, 0)</f>
      </c>
      <c r="D54" s="26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9">
        <f>SUM(C54:Z54)</f>
      </c>
      <c r="AB54" s="39"/>
      <c r="AC54" s="39"/>
      <c r="AD54" s="39"/>
      <c r="AE54" s="39"/>
      <c r="AF54" s="39"/>
    </row>
    <row r="55">
      <c r="A55" s="5">
        <v>51</v>
      </c>
      <c r="B55" s="38"/>
      <c r="C55" s="28">
        <f>IF('List Ticket'!C55=1, 1, 0)</f>
      </c>
      <c r="D55" s="26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9">
        <f>SUM(C55:Z55)</f>
      </c>
      <c r="AB55" s="39"/>
      <c r="AC55" s="39"/>
      <c r="AD55" s="39"/>
      <c r="AE55" s="39"/>
      <c r="AF55" s="39"/>
    </row>
    <row r="56">
      <c r="A56" s="5">
        <v>52</v>
      </c>
      <c r="B56" s="38"/>
      <c r="C56" s="28">
        <f>IF('List Ticket'!C56=1, 1, 0)</f>
      </c>
      <c r="D56" s="26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9">
        <f>SUM(C56:Z56)</f>
      </c>
      <c r="AB56" s="39"/>
      <c r="AC56" s="39"/>
      <c r="AD56" s="39"/>
      <c r="AE56" s="39"/>
      <c r="AF56" s="39"/>
    </row>
    <row r="57">
      <c r="A57" s="5">
        <v>53</v>
      </c>
      <c r="B57" s="38"/>
      <c r="C57" s="28">
        <f>IF('List Ticket'!C57=1, 1, 0)</f>
      </c>
      <c r="D57" s="26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9">
        <f>SUM(C57:Z57)</f>
      </c>
      <c r="AB57" s="39"/>
      <c r="AC57" s="39"/>
      <c r="AD57" s="39"/>
      <c r="AE57" s="39"/>
      <c r="AF57" s="39"/>
    </row>
    <row r="58">
      <c r="A58" s="5">
        <v>54</v>
      </c>
      <c r="B58" s="38"/>
      <c r="C58" s="28">
        <f>IF('List Ticket'!C58=1, 1, 0)</f>
      </c>
      <c r="D58" s="26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9">
        <f>SUM(C58:Z58)</f>
      </c>
      <c r="AB58" s="39"/>
      <c r="AC58" s="39"/>
      <c r="AD58" s="39"/>
      <c r="AE58" s="39"/>
      <c r="AF58" s="39"/>
    </row>
    <row r="59">
      <c r="A59" s="5">
        <v>55</v>
      </c>
      <c r="B59" s="38"/>
      <c r="C59" s="28">
        <f>IF('List Ticket'!C59=1, 1, 0)</f>
      </c>
      <c r="D59" s="26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9">
        <f>SUM(C59:Z59)</f>
      </c>
      <c r="AB59" s="39"/>
      <c r="AC59" s="39"/>
      <c r="AD59" s="39"/>
      <c r="AE59" s="39"/>
      <c r="AF59" s="39"/>
    </row>
    <row r="60">
      <c r="A60" s="5">
        <v>56</v>
      </c>
      <c r="B60" s="38"/>
      <c r="C60" s="28">
        <f>IF('List Ticket'!C60=1, 1, 0)</f>
      </c>
      <c r="D60" s="26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9">
        <f>SUM(C60:Z60)</f>
      </c>
      <c r="AB60" s="39"/>
      <c r="AC60" s="39"/>
      <c r="AD60" s="39"/>
      <c r="AE60" s="39"/>
      <c r="AF60" s="39"/>
    </row>
    <row r="61">
      <c r="A61" s="5">
        <v>57</v>
      </c>
      <c r="B61" s="38"/>
      <c r="C61" s="28">
        <f>IF('List Ticket'!C61=1, 1, 0)</f>
      </c>
      <c r="D61" s="26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9">
        <f>SUM(C61:Z61)</f>
      </c>
      <c r="AB61" s="39"/>
      <c r="AC61" s="39"/>
      <c r="AD61" s="39"/>
      <c r="AE61" s="39"/>
      <c r="AF61" s="39"/>
    </row>
    <row r="62">
      <c r="A62" s="5">
        <v>58</v>
      </c>
      <c r="B62" s="38"/>
      <c r="C62" s="28">
        <f>IF('List Ticket'!C62=1, 1, 0)</f>
      </c>
      <c r="D62" s="26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9">
        <f>SUM(C62:Z62)</f>
      </c>
      <c r="AB62" s="39"/>
      <c r="AC62" s="39"/>
      <c r="AD62" s="39"/>
      <c r="AE62" s="39"/>
      <c r="AF62" s="39"/>
    </row>
    <row r="63">
      <c r="A63" s="5">
        <v>59</v>
      </c>
      <c r="B63" s="38"/>
      <c r="C63" s="28">
        <f>IF('List Ticket'!C63=1, 1, 0)</f>
      </c>
      <c r="D63" s="26">
        <f>IF('List Ticket'!D63=1, C63+1, 0)</f>
      </c>
      <c r="E63" s="24">
        <f>IF('List Ticket'!E63=1, D63+1, 0)</f>
      </c>
      <c r="F63" s="24">
        <f>IF('List Ticket'!F63=1, E63+1, 0)</f>
      </c>
      <c r="G63" s="24">
        <f>IF('List Ticket'!G63=1, F63+1, 0)</f>
      </c>
      <c r="H63" s="24">
        <f>IF('List Ticket'!H63=1, G63+1, 0)</f>
      </c>
      <c r="I63" s="24">
        <f>IF('List Ticket'!I63=1, H63+1, 0)</f>
      </c>
      <c r="J63" s="24">
        <f>IF('List Ticket'!J63=1, I63+1, 0)</f>
      </c>
      <c r="K63" s="24">
        <f>IF('List Ticket'!K63=1, J63+1, 0)</f>
      </c>
      <c r="L63" s="24">
        <f>IF('List Ticket'!L63=1, K63+1, 0)</f>
      </c>
      <c r="M63" s="24">
        <f>IF('List Ticket'!M63=1, L63+1, 0)</f>
      </c>
      <c r="N63" s="24">
        <f>IF('List Ticket'!N63=1, M63+1, 0)</f>
      </c>
      <c r="O63" s="24">
        <f>IF('List Ticket'!O63=1, N63+1, 0)</f>
      </c>
      <c r="P63" s="24">
        <f>IF('List Ticket'!P63=1, O63+1, 0)</f>
      </c>
      <c r="Q63" s="24">
        <f>IF('List Ticket'!Q63=1, P63+1, 0)</f>
      </c>
      <c r="R63" s="24">
        <f>IF('List Ticket'!R63=1, Q63+1, 0)</f>
      </c>
      <c r="S63" s="24">
        <f>IF('List Ticket'!S63=1, R63+1, 0)</f>
      </c>
      <c r="T63" s="24">
        <f>IF('List Ticket'!T63=1, S63+1, 0)</f>
      </c>
      <c r="U63" s="24">
        <f>IF('List Ticket'!U63=1, T63+1, 0)</f>
      </c>
      <c r="V63" s="24">
        <f>IF('List Ticket'!V63=1, U63+1, 0)</f>
      </c>
      <c r="W63" s="24">
        <f>IF('List Ticket'!W63=1, V63+1, 0)</f>
      </c>
      <c r="X63" s="24">
        <f>IF('List Ticket'!X63=1, W63+1, 0)</f>
      </c>
      <c r="Y63" s="24">
        <f>IF('List Ticket'!Y63=1, X63+1, 0)</f>
      </c>
      <c r="Z63" s="24">
        <f>IF('List Ticket'!Z63=1, Y63+1, 0)</f>
      </c>
      <c r="AA63" s="29">
        <f>SUM(C63:Z63)</f>
      </c>
      <c r="AB63" s="39"/>
      <c r="AC63" s="39"/>
      <c r="AD63" s="39"/>
      <c r="AE63" s="39"/>
      <c r="AF63" s="39"/>
    </row>
    <row r="64">
      <c r="A64" s="5">
        <v>60</v>
      </c>
      <c r="B64" s="38"/>
      <c r="C64" s="28">
        <f>IF('List Ticket'!C64=1, 1, 0)</f>
      </c>
      <c r="D64" s="26">
        <f>IF('List Ticket'!D64=1, C64+1, 0)</f>
      </c>
      <c r="E64" s="24">
        <f>IF('List Ticket'!E64=1, D64+1, 0)</f>
      </c>
      <c r="F64" s="24">
        <f>IF('List Ticket'!F64=1, E64+1, 0)</f>
      </c>
      <c r="G64" s="24">
        <f>IF('List Ticket'!G64=1, F64+1, 0)</f>
      </c>
      <c r="H64" s="24">
        <f>IF('List Ticket'!H64=1, G64+1, 0)</f>
      </c>
      <c r="I64" s="24">
        <f>IF('List Ticket'!I64=1, H64+1, 0)</f>
      </c>
      <c r="J64" s="24">
        <f>IF('List Ticket'!J64=1, I64+1, 0)</f>
      </c>
      <c r="K64" s="24">
        <f>IF('List Ticket'!K64=1, J64+1, 0)</f>
      </c>
      <c r="L64" s="24">
        <f>IF('List Ticket'!L64=1, K64+1, 0)</f>
      </c>
      <c r="M64" s="24">
        <f>IF('List Ticket'!M64=1, L64+1, 0)</f>
      </c>
      <c r="N64" s="24">
        <f>IF('List Ticket'!N64=1, M64+1, 0)</f>
      </c>
      <c r="O64" s="24">
        <f>IF('List Ticket'!O64=1, N64+1, 0)</f>
      </c>
      <c r="P64" s="24">
        <f>IF('List Ticket'!P64=1, O64+1, 0)</f>
      </c>
      <c r="Q64" s="24">
        <f>IF('List Ticket'!Q64=1, P64+1, 0)</f>
      </c>
      <c r="R64" s="24">
        <f>IF('List Ticket'!R64=1, Q64+1, 0)</f>
      </c>
      <c r="S64" s="24">
        <f>IF('List Ticket'!S64=1, R64+1, 0)</f>
      </c>
      <c r="T64" s="24">
        <f>IF('List Ticket'!T64=1, S64+1, 0)</f>
      </c>
      <c r="U64" s="24">
        <f>IF('List Ticket'!U64=1, T64+1, 0)</f>
      </c>
      <c r="V64" s="24">
        <f>IF('List Ticket'!V64=1, U64+1, 0)</f>
      </c>
      <c r="W64" s="24">
        <f>IF('List Ticket'!W64=1, V64+1, 0)</f>
      </c>
      <c r="X64" s="24">
        <f>IF('List Ticket'!X64=1, W64+1, 0)</f>
      </c>
      <c r="Y64" s="24">
        <f>IF('List Ticket'!Y64=1, X64+1, 0)</f>
      </c>
      <c r="Z64" s="24">
        <f>IF('List Ticket'!Z64=1, Y64+1, 0)</f>
      </c>
      <c r="AA64" s="29">
        <f>SUM(C64:Z64)</f>
      </c>
      <c r="AB64" s="39"/>
      <c r="AC64" s="39"/>
      <c r="AD64" s="39"/>
      <c r="AE64" s="39"/>
      <c r="AF64" s="39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