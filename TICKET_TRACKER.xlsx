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<sst xmlns="http://schemas.openxmlformats.org/spreadsheetml/2006/main" count="103" uniqueCount="103">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</sst>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3" defaultRowHeight="18"/>
  <cols>
    <col collapsed="false" customWidth="true" hidden="false" max="22" min="22" style="0" width="6"/>
    <col collapsed="false" customWidth="true" hidden="false" max="26" min="26" style="0" width="5"/>
    <col collapsed="false" customWidth="true" hidden="false" max="2" min="2" style="0" width="28"/>
    <col collapsed="false" customWidth="true" hidden="false" max="6" min="6" style="0" width="4"/>
    <col collapsed="false" customWidth="true" hidden="false" max="11" min="11" style="0" width="13"/>
    <col collapsed="false" customWidth="true" hidden="false" max="15" min="15" style="0" width="6"/>
    <col collapsed="false" customWidth="true" hidden="false" max="18" min="18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1" min="1" style="0" width="5"/>
    <col collapsed="false" customWidth="true" hidden="false" max="5" min="5" style="0" width="4"/>
    <col collapsed="false" customWidth="true" hidden="false" max="10" min="10" style="0" width="4"/>
    <col collapsed="false" customWidth="true" hidden="false" max="14" min="14" style="0" width="6"/>
    <col collapsed="false" customWidth="true" hidden="false" max="17" min="17" style="0" width="6"/>
    <col collapsed="false" customWidth="true" hidden="false" max="24" min="24" style="0" width="6"/>
    <col collapsed="false" customWidth="true" hidden="false" max="4" min="4" style="0" width="5"/>
    <col collapsed="false" customWidth="true" hidden="false" max="8" min="8" style="0" width="4"/>
    <col collapsed="false" customWidth="true" hidden="false" max="9" min="9" style="0" width="4"/>
    <col collapsed="false" customWidth="true" hidden="false" max="13" min="13" style="0" width="6"/>
    <col collapsed="false" customWidth="true" hidden="false" max="20" min="20" style="0" width="6"/>
    <col collapsed="false" customWidth="true" hidden="false" max="23" min="23" style="0" width="6"/>
    <col collapsed="false" customWidth="true" hidden="false" max="3" min="3" style="0" width="5"/>
    <col collapsed="false" customWidth="true" hidden="false" max="7" min="7" style="0" width="4"/>
    <col collapsed="false" customWidth="true" hidden="false" max="12" min="12" style="0" width="6"/>
    <col collapsed="false" customWidth="true" hidden="false" max="16" min="16" style="0" width="6"/>
    <col collapsed="false" customWidth="true" hidden="false" max="19" min="19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20">
        <v>1</v>
      </c>
      <c r="J5" s="20">
        <v>1</v>
      </c>
      <c r="K5" s="20">
        <v>1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1">
        <v>0</v>
      </c>
      <c r="AA5" s="22">
        <f t="shared" ref="AA5:AA218" si="1">(SUM(C5:Y5))+AE5</f>
      </c>
      <c r="AB5" s="23">
        <v>0</v>
      </c>
      <c r="AC5" s="24">
        <f>MIN(3, SUMPRODUCT((MOD('Streak'!C5:Y5,5)=0)*(MOD('Streak'!C5:Y5,10)&lt;&gt;0)*('Streak'!C5:Y5&gt;0))) * 5</f>
      </c>
      <c r="AD5" s="24">
        <f>MIN(2, SUMPRODUCT((MOD('Streak'!C5:Y5,10)=0)*('Streak'!C5:Y5&gt;0))) * 20</f>
      </c>
      <c r="AE5" s="25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1">
        <v>0</v>
      </c>
      <c r="AA6" s="22">
        <f t="shared" si="1"/>
      </c>
      <c r="AB6" s="23">
        <v>0</v>
      </c>
      <c r="AC6" s="24">
        <f>MIN(3, SUMPRODUCT((MOD('Streak'!C6:Y6,5)=0)*(MOD('Streak'!C6:Y6,10)&lt;&gt;0)*('Streak'!C6:Y6&gt;0))) * 5</f>
      </c>
      <c r="AD6" s="24">
        <f>MIN(2, SUMPRODUCT((MOD('Streak'!C6:Y6,10)=0)*('Streak'!C6:Y6&gt;0))) * 20</f>
      </c>
      <c r="AE6" s="25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20">
        <v>1</v>
      </c>
      <c r="J7" s="19">
        <v>0</v>
      </c>
      <c r="K7" s="20">
        <v>1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1">
        <v>0</v>
      </c>
      <c r="AA7" s="22">
        <f t="shared" si="1"/>
      </c>
      <c r="AB7" s="23">
        <v>0</v>
      </c>
      <c r="AC7" s="24">
        <f>MIN(3, SUMPRODUCT((MOD('Streak'!C7:Y7,5)=0)*(MOD('Streak'!C7:Y7,10)&lt;&gt;0)*('Streak'!C7:Y7&gt;0))) * 5</f>
      </c>
      <c r="AD7" s="24">
        <f>MIN(2, SUMPRODUCT((MOD('Streak'!C7:Y7,10)=0)*('Streak'!C7:Y7&gt;0))) * 20</f>
      </c>
      <c r="AE7" s="25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20">
        <v>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1">
        <v>0</v>
      </c>
      <c r="AA8" s="22">
        <f t="shared" si="1"/>
      </c>
      <c r="AB8" s="23">
        <v>0</v>
      </c>
      <c r="AC8" s="24">
        <f>MIN(3, SUMPRODUCT((MOD('Streak'!C8:Y8,5)=0)*(MOD('Streak'!C8:Y8,10)&lt;&gt;0)*('Streak'!C8:Y8&gt;0))) * 5</f>
      </c>
      <c r="AD8" s="24">
        <f>MIN(2, SUMPRODUCT((MOD('Streak'!C8:Y8,10)=0)*('Streak'!C8:Y8&gt;0))) * 20</f>
      </c>
      <c r="AE8" s="25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20">
        <v>1</v>
      </c>
      <c r="J9" s="20">
        <v>1</v>
      </c>
      <c r="K9" s="20">
        <v>1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1">
        <v>0</v>
      </c>
      <c r="AA9" s="22">
        <f t="shared" si="1"/>
      </c>
      <c r="AB9" s="23">
        <v>0</v>
      </c>
      <c r="AC9" s="24">
        <f>MIN(3, SUMPRODUCT((MOD('Streak'!C9:Y9,5)=0)*(MOD('Streak'!C9:Y9,10)&lt;&gt;0)*('Streak'!C9:Y9&gt;0))) * 5</f>
      </c>
      <c r="AD9" s="24">
        <f>MIN(2, SUMPRODUCT((MOD('Streak'!C9:Y9,10)=0)*('Streak'!C9:Y9&gt;0))) * 20</f>
      </c>
      <c r="AE9" s="25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20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1">
        <v>0</v>
      </c>
      <c r="AA10" s="22">
        <f t="shared" si="1"/>
      </c>
      <c r="AB10" s="23">
        <v>0</v>
      </c>
      <c r="AC10" s="24">
        <f>MIN(3, SUMPRODUCT((MOD('Streak'!C10:Y10,5)=0)*(MOD('Streak'!C10:Y10,10)&lt;&gt;0)*('Streak'!C10:Y10&gt;0))) * 5</f>
      </c>
      <c r="AD10" s="24">
        <f>MIN(2, SUMPRODUCT((MOD('Streak'!C10:Y10,10)=0)*('Streak'!C10:Y10&gt;0))) * 20</f>
      </c>
      <c r="AE10" s="25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20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1">
        <v>0</v>
      </c>
      <c r="AA11" s="22">
        <f t="shared" si="1"/>
      </c>
      <c r="AB11" s="23">
        <v>0</v>
      </c>
      <c r="AC11" s="24">
        <f>MIN(3, SUMPRODUCT((MOD('Streak'!C11:Y11,5)=0)*(MOD('Streak'!C11:Y11,10)&lt;&gt;0)*('Streak'!C11:Y11&gt;0))) * 5</f>
      </c>
      <c r="AD11" s="24">
        <f>MIN(2, SUMPRODUCT((MOD('Streak'!C11:Y11,10)=0)*('Streak'!C11:Y11&gt;0))) * 20</f>
      </c>
      <c r="AE11" s="25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20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1">
        <v>0</v>
      </c>
      <c r="AA12" s="22">
        <f t="shared" si="1"/>
      </c>
      <c r="AB12" s="23">
        <v>0</v>
      </c>
      <c r="AC12" s="24">
        <f>MIN(3, SUMPRODUCT((MOD('Streak'!C12:Y12,5)=0)*(MOD('Streak'!C12:Y12,10)&lt;&gt;0)*('Streak'!C12:Y12&gt;0))) * 5</f>
      </c>
      <c r="AD12" s="24">
        <f>MIN(2, SUMPRODUCT((MOD('Streak'!C12:Y12,10)=0)*('Streak'!C12:Y12&gt;0))) * 20</f>
      </c>
      <c r="AE12" s="25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20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1">
        <v>0</v>
      </c>
      <c r="AA13" s="22">
        <f t="shared" si="1"/>
      </c>
      <c r="AB13" s="23">
        <v>0</v>
      </c>
      <c r="AC13" s="24">
        <f>MIN(3, SUMPRODUCT((MOD('Streak'!C13:Y13,5)=0)*(MOD('Streak'!C13:Y13,10)&lt;&gt;0)*('Streak'!C13:Y13&gt;0))) * 5</f>
      </c>
      <c r="AD13" s="24">
        <f>MIN(2, SUMPRODUCT((MOD('Streak'!C13:Y13,10)=0)*('Streak'!C13:Y13&gt;0))) * 20</f>
      </c>
      <c r="AE13" s="25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20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1">
        <v>0</v>
      </c>
      <c r="AA14" s="22">
        <f t="shared" si="1"/>
      </c>
      <c r="AB14" s="23">
        <v>0</v>
      </c>
      <c r="AC14" s="24">
        <f>MIN(3, SUMPRODUCT((MOD('Streak'!C14:Y14,5)=0)*(MOD('Streak'!C14:Y14,10)&lt;&gt;0)*('Streak'!C14:Y14&gt;0))) * 5</f>
      </c>
      <c r="AD14" s="24">
        <f>MIN(2, SUMPRODUCT((MOD('Streak'!C14:Y14,10)=0)*('Streak'!C14:Y14&gt;0))) * 20</f>
      </c>
      <c r="AE14" s="25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20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1">
        <v>0</v>
      </c>
      <c r="AA15" s="22">
        <f t="shared" si="1"/>
      </c>
      <c r="AB15" s="23">
        <v>0</v>
      </c>
      <c r="AC15" s="24">
        <f>MIN(3, SUMPRODUCT((MOD('Streak'!C15:Y15,5)=0)*(MOD('Streak'!C15:Y15,10)&lt;&gt;0)*('Streak'!C15:Y15&gt;0))) * 5</f>
      </c>
      <c r="AD15" s="24">
        <f>MIN(2, SUMPRODUCT((MOD('Streak'!C15:Y15,10)=0)*('Streak'!C15:Y15&gt;0))) * 20</f>
      </c>
      <c r="AE15" s="25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20">
        <v>1</v>
      </c>
      <c r="J16" s="19">
        <v>0</v>
      </c>
      <c r="K16" s="20">
        <v>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1">
        <v>0</v>
      </c>
      <c r="AA16" s="22">
        <f t="shared" si="1"/>
      </c>
      <c r="AB16" s="23">
        <v>0</v>
      </c>
      <c r="AC16" s="24">
        <f>MIN(3, SUMPRODUCT((MOD('Streak'!C16:Y16,5)=0)*(MOD('Streak'!C16:Y16,10)&lt;&gt;0)*('Streak'!C16:Y16&gt;0))) * 5</f>
      </c>
      <c r="AD16" s="24">
        <f>MIN(2, SUMPRODUCT((MOD('Streak'!C16:Y16,10)=0)*('Streak'!C16:Y16&gt;0))) * 20</f>
      </c>
      <c r="AE16" s="25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1">
        <v>0</v>
      </c>
      <c r="AA17" s="22">
        <f t="shared" si="1"/>
      </c>
      <c r="AB17" s="23">
        <v>0</v>
      </c>
      <c r="AC17" s="24">
        <f>MIN(3, SUMPRODUCT((MOD('Streak'!C17:Y17,5)=0)*(MOD('Streak'!C17:Y17,10)&lt;&gt;0)*('Streak'!C17:Y17&gt;0))) * 5</f>
      </c>
      <c r="AD17" s="24">
        <f>MIN(2, SUMPRODUCT((MOD('Streak'!C17:Y17,10)=0)*('Streak'!C17:Y17&gt;0))) * 20</f>
      </c>
      <c r="AE17" s="25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20">
        <v>1</v>
      </c>
      <c r="J18" s="20">
        <v>1</v>
      </c>
      <c r="K18" s="20">
        <v>1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1">
        <v>0</v>
      </c>
      <c r="AA18" s="22">
        <f t="shared" si="1"/>
      </c>
      <c r="AB18" s="23">
        <v>0</v>
      </c>
      <c r="AC18" s="24">
        <f>MIN(3, SUMPRODUCT((MOD('Streak'!C18:Y18,5)=0)*(MOD('Streak'!C18:Y18,10)&lt;&gt;0)*('Streak'!C18:Y18&gt;0))) * 5</f>
      </c>
      <c r="AD18" s="24">
        <f>MIN(2, SUMPRODUCT((MOD('Streak'!C18:Y18,10)=0)*('Streak'!C18:Y18&gt;0))) * 20</f>
      </c>
      <c r="AE18" s="25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20">
        <v>1</v>
      </c>
      <c r="J19" s="20">
        <v>1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1">
        <v>0</v>
      </c>
      <c r="AA19" s="22">
        <f t="shared" si="1"/>
      </c>
      <c r="AB19" s="23">
        <v>0</v>
      </c>
      <c r="AC19" s="24">
        <f>MIN(3, SUMPRODUCT((MOD('Streak'!C19:Y19,5)=0)*(MOD('Streak'!C19:Y19,10)&lt;&gt;0)*('Streak'!C19:Y19&gt;0))) * 5</f>
      </c>
      <c r="AD19" s="24">
        <f>MIN(2, SUMPRODUCT((MOD('Streak'!C19:Y19,10)=0)*('Streak'!C19:Y19&gt;0))) * 20</f>
      </c>
      <c r="AE19" s="25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20">
        <v>1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1">
        <v>0</v>
      </c>
      <c r="AA20" s="22">
        <f t="shared" si="1"/>
      </c>
      <c r="AB20" s="23">
        <v>0</v>
      </c>
      <c r="AC20" s="24">
        <f>MIN(3, SUMPRODUCT((MOD('Streak'!C20:Y20,5)=0)*(MOD('Streak'!C20:Y20,10)&lt;&gt;0)*('Streak'!C20:Y20&gt;0))) * 5</f>
      </c>
      <c r="AD20" s="24">
        <f>MIN(2, SUMPRODUCT((MOD('Streak'!C20:Y20,10)=0)*('Streak'!C20:Y20&gt;0))) * 20</f>
      </c>
      <c r="AE20" s="25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1">
        <v>0</v>
      </c>
      <c r="AA21" s="22">
        <f t="shared" si="1"/>
      </c>
      <c r="AB21" s="23">
        <v>0</v>
      </c>
      <c r="AC21" s="24">
        <f>MIN(3, SUMPRODUCT((MOD('Streak'!C21:Y21,5)=0)*(MOD('Streak'!C21:Y21,10)&lt;&gt;0)*('Streak'!C21:Y21&gt;0))) * 5</f>
      </c>
      <c r="AD21" s="24">
        <f>MIN(2, SUMPRODUCT((MOD('Streak'!C21:Y21,10)=0)*('Streak'!C21:Y21&gt;0))) * 20</f>
      </c>
      <c r="AE21" s="25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20">
        <v>1</v>
      </c>
      <c r="J22" s="20">
        <v>1</v>
      </c>
      <c r="K22" s="20">
        <v>1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1">
        <v>0</v>
      </c>
      <c r="AA22" s="22">
        <f t="shared" si="1"/>
      </c>
      <c r="AB22" s="23">
        <v>0</v>
      </c>
      <c r="AC22" s="24">
        <f>MIN(3, SUMPRODUCT((MOD('Streak'!C22:Y22,5)=0)*(MOD('Streak'!C22:Y22,10)&lt;&gt;0)*('Streak'!C22:Y22&gt;0))) * 5</f>
      </c>
      <c r="AD22" s="24">
        <f>MIN(2, SUMPRODUCT((MOD('Streak'!C22:Y22,10)=0)*('Streak'!C22:Y22&gt;0))) * 20</f>
      </c>
      <c r="AE22" s="25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20">
        <v>1</v>
      </c>
      <c r="J23" s="20">
        <v>1</v>
      </c>
      <c r="K23" s="20">
        <v>1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1">
        <v>0</v>
      </c>
      <c r="AA23" s="22">
        <f t="shared" si="1"/>
      </c>
      <c r="AB23" s="23">
        <v>0</v>
      </c>
      <c r="AC23" s="24">
        <f>MIN(3, SUMPRODUCT((MOD('Streak'!C23:Y23,5)=0)*(MOD('Streak'!C23:Y23,10)&lt;&gt;0)*('Streak'!C23:Y23&gt;0))) * 5</f>
      </c>
      <c r="AD23" s="24">
        <f>MIN(2, SUMPRODUCT((MOD('Streak'!C23:Y23,10)=0)*('Streak'!C23:Y23&gt;0))) * 20</f>
      </c>
      <c r="AE23" s="25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20">
        <v>1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1">
        <v>0</v>
      </c>
      <c r="AA24" s="22">
        <f t="shared" si="1"/>
      </c>
      <c r="AB24" s="23">
        <v>0</v>
      </c>
      <c r="AC24" s="24">
        <f>MIN(3, SUMPRODUCT((MOD('Streak'!C24:Y24,5)=0)*(MOD('Streak'!C24:Y24,10)&lt;&gt;0)*('Streak'!C24:Y24&gt;0))) * 5</f>
      </c>
      <c r="AD24" s="24">
        <f>MIN(2, SUMPRODUCT((MOD('Streak'!C24:Y24,10)=0)*('Streak'!C24:Y24&gt;0))) * 20</f>
      </c>
      <c r="AE24" s="25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20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1">
        <v>0</v>
      </c>
      <c r="AA25" s="22">
        <f t="shared" si="1"/>
      </c>
      <c r="AB25" s="23">
        <v>0</v>
      </c>
      <c r="AC25" s="24">
        <f>MIN(3, SUMPRODUCT((MOD('Streak'!C25:Y25,5)=0)*(MOD('Streak'!C25:Y25,10)&lt;&gt;0)*('Streak'!C25:Y25&gt;0))) * 5</f>
      </c>
      <c r="AD25" s="24">
        <f>MIN(2, SUMPRODUCT((MOD('Streak'!C25:Y25,10)=0)*('Streak'!C25:Y25&gt;0))) * 20</f>
      </c>
      <c r="AE25" s="25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20">
        <v>1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1">
        <v>0</v>
      </c>
      <c r="AA26" s="22">
        <f t="shared" si="1"/>
      </c>
      <c r="AB26" s="23">
        <v>0</v>
      </c>
      <c r="AC26" s="24">
        <f>MIN(3, SUMPRODUCT((MOD('Streak'!C26:Y26,5)=0)*(MOD('Streak'!C26:Y26,10)&lt;&gt;0)*('Streak'!C26:Y26&gt;0))) * 5</f>
      </c>
      <c r="AD26" s="24">
        <f>MIN(2, SUMPRODUCT((MOD('Streak'!C26:Y26,10)=0)*('Streak'!C26:Y26&gt;0))) * 20</f>
      </c>
      <c r="AE26" s="25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1">
        <v>0</v>
      </c>
      <c r="AA27" s="22">
        <f t="shared" si="1"/>
      </c>
      <c r="AB27" s="23">
        <v>0</v>
      </c>
      <c r="AC27" s="24">
        <f>MIN(3, SUMPRODUCT((MOD('Streak'!C27:Y27,5)=0)*(MOD('Streak'!C27:Y27,10)&lt;&gt;0)*('Streak'!C27:Y27&gt;0))) * 5</f>
      </c>
      <c r="AD27" s="24">
        <f>MIN(2, SUMPRODUCT((MOD('Streak'!C27:Y27,10)=0)*('Streak'!C27:Y27&gt;0))) * 20</f>
      </c>
      <c r="AE27" s="25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1">
        <v>0</v>
      </c>
      <c r="AA28" s="22">
        <f t="shared" si="1"/>
      </c>
      <c r="AB28" s="23">
        <v>0</v>
      </c>
      <c r="AC28" s="24">
        <f>MIN(3, SUMPRODUCT((MOD('Streak'!C28:Y28,5)=0)*(MOD('Streak'!C28:Y28,10)&lt;&gt;0)*('Streak'!C28:Y28&gt;0))) * 5</f>
      </c>
      <c r="AD28" s="24">
        <f>MIN(2, SUMPRODUCT((MOD('Streak'!C28:Y28,10)=0)*('Streak'!C28:Y28&gt;0))) * 20</f>
      </c>
      <c r="AE28" s="25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20">
        <v>1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1">
        <v>0</v>
      </c>
      <c r="AA29" s="22">
        <f t="shared" si="1"/>
      </c>
      <c r="AB29" s="23">
        <v>0</v>
      </c>
      <c r="AC29" s="24">
        <f>MIN(3, SUMPRODUCT((MOD('Streak'!C29:Y29,5)=0)*(MOD('Streak'!C29:Y29,10)&lt;&gt;0)*('Streak'!C29:Y29&gt;0))) * 5</f>
      </c>
      <c r="AD29" s="24">
        <f>MIN(2, SUMPRODUCT((MOD('Streak'!C29:Y29,10)=0)*('Streak'!C29:Y29&gt;0))) * 20</f>
      </c>
      <c r="AE29" s="25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20">
        <v>1</v>
      </c>
      <c r="J30" s="20">
        <v>1</v>
      </c>
      <c r="K30" s="20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1">
        <v>0</v>
      </c>
      <c r="AA30" s="22">
        <f t="shared" si="1"/>
      </c>
      <c r="AB30" s="23">
        <v>0</v>
      </c>
      <c r="AC30" s="24">
        <f>MIN(3, SUMPRODUCT((MOD('Streak'!C30:Y30,5)=0)*(MOD('Streak'!C30:Y30,10)&lt;&gt;0)*('Streak'!C30:Y30&gt;0))) * 5</f>
      </c>
      <c r="AD30" s="24">
        <f>MIN(2, SUMPRODUCT((MOD('Streak'!C30:Y30,10)=0)*('Streak'!C30:Y30&gt;0))) * 20</f>
      </c>
      <c r="AE30" s="25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20">
        <v>1</v>
      </c>
      <c r="J31" s="20">
        <v>1</v>
      </c>
      <c r="K31" s="20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1">
        <v>0</v>
      </c>
      <c r="AA31" s="22">
        <f t="shared" si="1"/>
      </c>
      <c r="AB31" s="23">
        <v>0</v>
      </c>
      <c r="AC31" s="24">
        <f>MIN(3, SUMPRODUCT((MOD('Streak'!C31:Y31,5)=0)*(MOD('Streak'!C31:Y31,10)&lt;&gt;0)*('Streak'!C31:Y31&gt;0))) * 5</f>
      </c>
      <c r="AD31" s="24">
        <f>MIN(2, SUMPRODUCT((MOD('Streak'!C31:Y31,10)=0)*('Streak'!C31:Y31&gt;0))) * 20</f>
      </c>
      <c r="AE31" s="25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20">
        <v>1</v>
      </c>
      <c r="J32" s="20">
        <v>1</v>
      </c>
      <c r="K32" s="20">
        <v>1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1">
        <v>0</v>
      </c>
      <c r="AA32" s="22">
        <f t="shared" si="1"/>
      </c>
      <c r="AB32" s="23">
        <v>0</v>
      </c>
      <c r="AC32" s="24">
        <f>MIN(3, SUMPRODUCT((MOD('Streak'!C32:Y32,5)=0)*(MOD('Streak'!C32:Y32,10)&lt;&gt;0)*('Streak'!C32:Y32&gt;0))) * 5</f>
      </c>
      <c r="AD32" s="24">
        <f>MIN(2, SUMPRODUCT((MOD('Streak'!C32:Y32,10)=0)*('Streak'!C32:Y32&gt;0))) * 20</f>
      </c>
      <c r="AE32" s="25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1">
        <v>0</v>
      </c>
      <c r="AA33" s="22">
        <f t="shared" si="1"/>
      </c>
      <c r="AB33" s="23">
        <v>0</v>
      </c>
      <c r="AC33" s="24">
        <f>MIN(3, SUMPRODUCT((MOD('Streak'!C33:Y33,5)=0)*(MOD('Streak'!C33:Y33,10)&lt;&gt;0)*('Streak'!C33:Y33&gt;0))) * 5</f>
      </c>
      <c r="AD33" s="24">
        <f>MIN(2, SUMPRODUCT((MOD('Streak'!C33:Y33,10)=0)*('Streak'!C33:Y33&gt;0))) * 20</f>
      </c>
      <c r="AE33" s="25">
        <f t="shared" si="0"/>
      </c>
    </row>
    <row r="34">
      <c r="A34" s="17">
        <f t="shared" si="2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1">
        <v>0</v>
      </c>
      <c r="AA34" s="22">
        <f t="shared" si="1"/>
      </c>
      <c r="AB34" s="23">
        <v>0</v>
      </c>
      <c r="AC34" s="24">
        <f>MIN(3, SUMPRODUCT((MOD('Streak'!C34:Y34,5)=0)*(MOD('Streak'!C34:Y34,10)&lt;&gt;0)*('Streak'!C34:Y34&gt;0))) * 5</f>
      </c>
      <c r="AD34" s="24">
        <f>MIN(2, SUMPRODUCT((MOD('Streak'!C34:Y34,10)=0)*('Streak'!C34:Y34&gt;0))) * 20</f>
      </c>
      <c r="AE34" s="25">
        <f t="shared" si="0"/>
      </c>
    </row>
    <row r="35">
      <c r="A35" s="17">
        <f t="shared" si="2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20">
        <v>1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1">
        <v>0</v>
      </c>
      <c r="AA35" s="22">
        <f t="shared" si="1"/>
      </c>
      <c r="AB35" s="23">
        <v>0</v>
      </c>
      <c r="AC35" s="24">
        <f>MIN(3, SUMPRODUCT((MOD('Streak'!C35:Y35,5)=0)*(MOD('Streak'!C35:Y35,10)&lt;&gt;0)*('Streak'!C35:Y35&gt;0))) * 5</f>
      </c>
      <c r="AD35" s="24">
        <f>MIN(2, SUMPRODUCT((MOD('Streak'!C35:Y35,10)=0)*('Streak'!C35:Y35&gt;0))) * 20</f>
      </c>
      <c r="AE35" s="25">
        <f t="shared" si="0"/>
      </c>
    </row>
    <row r="36">
      <c r="A36" s="17">
        <f t="shared" si="2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20">
        <v>1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1">
        <v>0</v>
      </c>
      <c r="AA36" s="22">
        <f t="shared" si="1"/>
      </c>
      <c r="AB36" s="23">
        <v>0</v>
      </c>
      <c r="AC36" s="24">
        <f>MIN(3, SUMPRODUCT((MOD('Streak'!C36:Y36,5)=0)*(MOD('Streak'!C36:Y36,10)&lt;&gt;0)*('Streak'!C36:Y36&gt;0))) * 5</f>
      </c>
      <c r="AD36" s="24">
        <f>MIN(2, SUMPRODUCT((MOD('Streak'!C36:Y36,10)=0)*('Streak'!C36:Y36&gt;0))) * 20</f>
      </c>
      <c r="AE36" s="25">
        <f t="shared" si="0"/>
      </c>
    </row>
    <row r="37">
      <c r="A37" s="17">
        <f t="shared" si="2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20">
        <v>1</v>
      </c>
      <c r="K37" s="20">
        <v>1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1">
        <v>0</v>
      </c>
      <c r="AA37" s="22">
        <f t="shared" si="1"/>
      </c>
      <c r="AB37" s="23">
        <v>0</v>
      </c>
      <c r="AC37" s="24">
        <f>MIN(3, SUMPRODUCT((MOD('Streak'!C37:Y37,5)=0)*(MOD('Streak'!C37:Y37,10)&lt;&gt;0)*('Streak'!C37:Y37&gt;0))) * 5</f>
      </c>
      <c r="AD37" s="24">
        <f>MIN(2, SUMPRODUCT((MOD('Streak'!C37:Y37,10)=0)*('Streak'!C37:Y37&gt;0))) * 20</f>
      </c>
      <c r="AE37" s="25">
        <f t="shared" si="0"/>
      </c>
    </row>
    <row r="38">
      <c r="A38" s="17">
        <f t="shared" si="2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1">
        <v>0</v>
      </c>
      <c r="AA38" s="22">
        <f t="shared" si="1"/>
      </c>
      <c r="AB38" s="23">
        <v>0</v>
      </c>
      <c r="AC38" s="24">
        <f>MIN(3, SUMPRODUCT((MOD('Streak'!C38:Y38,5)=0)*(MOD('Streak'!C38:Y38,10)&lt;&gt;0)*('Streak'!C38:Y38&gt;0))) * 5</f>
      </c>
      <c r="AD38" s="24">
        <f>MIN(2, SUMPRODUCT((MOD('Streak'!C38:Y38,10)=0)*('Streak'!C38:Y38&gt;0))) * 20</f>
      </c>
      <c r="AE38" s="25">
        <f t="shared" si="0"/>
      </c>
    </row>
    <row r="39">
      <c r="A39" s="17">
        <f t="shared" si="2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1">
        <v>0</v>
      </c>
      <c r="AA39" s="22">
        <f t="shared" si="1"/>
      </c>
      <c r="AB39" s="23">
        <v>0</v>
      </c>
      <c r="AC39" s="24">
        <f>MIN(3, SUMPRODUCT((MOD('Streak'!C39:Y39,5)=0)*(MOD('Streak'!C39:Y39,10)&lt;&gt;0)*('Streak'!C39:Y39&gt;0))) * 5</f>
      </c>
      <c r="AD39" s="24">
        <f>MIN(2, SUMPRODUCT((MOD('Streak'!C39:Y39,10)=0)*('Streak'!C39:Y39&gt;0))) * 20</f>
      </c>
      <c r="AE39" s="25">
        <f t="shared" si="0"/>
      </c>
    </row>
    <row r="40">
      <c r="A40" s="17">
        <f t="shared" si="2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20">
        <v>1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1">
        <v>0</v>
      </c>
      <c r="AA40" s="22">
        <f t="shared" si="1"/>
      </c>
      <c r="AB40" s="23">
        <v>0</v>
      </c>
      <c r="AC40" s="24">
        <f>MIN(3, SUMPRODUCT((MOD('Streak'!C40:Y40,5)=0)*(MOD('Streak'!C40:Y40,10)&lt;&gt;0)*('Streak'!C40:Y40&gt;0))) * 5</f>
      </c>
      <c r="AD40" s="24">
        <f>MIN(2, SUMPRODUCT((MOD('Streak'!C40:Y40,10)=0)*('Streak'!C40:Y40&gt;0))) * 20</f>
      </c>
      <c r="AE40" s="25">
        <f t="shared" si="0"/>
      </c>
    </row>
    <row r="41">
      <c r="A41" s="17">
        <f t="shared" si="2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20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1">
        <v>0</v>
      </c>
      <c r="AA41" s="22">
        <f t="shared" si="1"/>
      </c>
      <c r="AB41" s="23">
        <v>0</v>
      </c>
      <c r="AC41" s="24">
        <f>MIN(3, SUMPRODUCT((MOD('Streak'!C41:Y41,5)=0)*(MOD('Streak'!C41:Y41,10)&lt;&gt;0)*('Streak'!C41:Y41&gt;0))) * 5</f>
      </c>
      <c r="AD41" s="24">
        <f>MIN(2, SUMPRODUCT((MOD('Streak'!C41:Y41,10)=0)*('Streak'!C41:Y41&gt;0))) * 20</f>
      </c>
      <c r="AE41" s="25">
        <f t="shared" si="0"/>
      </c>
    </row>
    <row r="42">
      <c r="A42" s="17">
        <f t="shared" si="2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20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1">
        <v>0</v>
      </c>
      <c r="AA42" s="22">
        <f t="shared" si="1"/>
      </c>
      <c r="AB42" s="23">
        <v>0</v>
      </c>
      <c r="AC42" s="24">
        <f>MIN(3, SUMPRODUCT((MOD('Streak'!C42:Y42,5)=0)*(MOD('Streak'!C42:Y42,10)&lt;&gt;0)*('Streak'!C42:Y42&gt;0))) * 5</f>
      </c>
      <c r="AD42" s="24">
        <f>MIN(2, SUMPRODUCT((MOD('Streak'!C42:Y42,10)=0)*('Streak'!C42:Y42&gt;0))) * 20</f>
      </c>
      <c r="AE42" s="25">
        <f t="shared" si="0"/>
      </c>
    </row>
    <row r="43">
      <c r="A43" s="17">
        <f t="shared" si="2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20">
        <v>1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1">
        <v>0</v>
      </c>
      <c r="AA43" s="22">
        <f t="shared" si="1"/>
      </c>
      <c r="AB43" s="23">
        <v>0</v>
      </c>
      <c r="AC43" s="24">
        <f>MIN(3, SUMPRODUCT((MOD('Streak'!C43:Y43,5)=0)*(MOD('Streak'!C43:Y43,10)&lt;&gt;0)*('Streak'!C43:Y43&gt;0))) * 5</f>
      </c>
      <c r="AD43" s="24">
        <f>MIN(2, SUMPRODUCT((MOD('Streak'!C43:Y43,10)=0)*('Streak'!C43:Y43&gt;0))) * 20</f>
      </c>
      <c r="AE43" s="25">
        <f t="shared" si="0"/>
      </c>
    </row>
    <row r="44">
      <c r="A44" s="17">
        <f t="shared" si="2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1">
        <v>0</v>
      </c>
      <c r="AA44" s="22">
        <f t="shared" si="1"/>
      </c>
      <c r="AB44" s="23">
        <v>0</v>
      </c>
      <c r="AC44" s="24">
        <f>MIN(3, SUMPRODUCT((MOD('Streak'!C44:Y44,5)=0)*(MOD('Streak'!C44:Y44,10)&lt;&gt;0)*('Streak'!C44:Y44&gt;0))) * 5</f>
      </c>
      <c r="AD44" s="24">
        <f>MIN(2, SUMPRODUCT((MOD('Streak'!C44:Y44,10)=0)*('Streak'!C44:Y44&gt;0))) * 20</f>
      </c>
      <c r="AE44" s="25">
        <f t="shared" si="0"/>
      </c>
    </row>
    <row r="45">
      <c r="A45" s="17">
        <f t="shared" si="2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1">
        <v>0</v>
      </c>
      <c r="AA45" s="22">
        <f t="shared" si="1"/>
      </c>
      <c r="AB45" s="23">
        <v>0</v>
      </c>
      <c r="AC45" s="24">
        <f>MIN(3, SUMPRODUCT((MOD('Streak'!C45:Y45,5)=0)*(MOD('Streak'!C45:Y45,10)&lt;&gt;0)*('Streak'!C45:Y45&gt;0))) * 5</f>
      </c>
      <c r="AD45" s="24">
        <f>MIN(2, SUMPRODUCT((MOD('Streak'!C45:Y45,10)=0)*('Streak'!C45:Y45&gt;0))) * 20</f>
      </c>
      <c r="AE45" s="25">
        <f t="shared" si="0"/>
      </c>
    </row>
    <row r="46">
      <c r="A46" s="17">
        <f t="shared" si="2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1">
        <v>0</v>
      </c>
      <c r="AA46" s="22">
        <f t="shared" si="1"/>
      </c>
      <c r="AB46" s="23">
        <v>0</v>
      </c>
      <c r="AC46" s="24">
        <f>MIN(3, SUMPRODUCT((MOD('Streak'!C46:Y46,5)=0)*(MOD('Streak'!C46:Y46,10)&lt;&gt;0)*('Streak'!C46:Y46&gt;0))) * 5</f>
      </c>
      <c r="AD46" s="24">
        <f>MIN(2, SUMPRODUCT((MOD('Streak'!C46:Y46,10)=0)*('Streak'!C46:Y46&gt;0))) * 20</f>
      </c>
      <c r="AE46" s="25">
        <f t="shared" si="0"/>
      </c>
    </row>
    <row r="47">
      <c r="A47" s="17">
        <f t="shared" si="2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1">
        <v>0</v>
      </c>
      <c r="AA47" s="22">
        <f t="shared" si="1"/>
      </c>
      <c r="AB47" s="23">
        <v>0</v>
      </c>
      <c r="AC47" s="24">
        <f>MIN(3, SUMPRODUCT((MOD('Streak'!C47:Y47,5)=0)*(MOD('Streak'!C47:Y47,10)&lt;&gt;0)*('Streak'!C47:Y47&gt;0))) * 5</f>
      </c>
      <c r="AD47" s="24">
        <f>MIN(2, SUMPRODUCT((MOD('Streak'!C47:Y47,10)=0)*('Streak'!C47:Y47&gt;0))) * 20</f>
      </c>
      <c r="AE47" s="25">
        <f t="shared" si="0"/>
      </c>
    </row>
    <row r="48">
      <c r="A48" s="17">
        <f t="shared" si="2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1">
        <v>0</v>
      </c>
      <c r="AA48" s="22">
        <f t="shared" si="1"/>
      </c>
      <c r="AB48" s="23">
        <v>0</v>
      </c>
      <c r="AC48" s="24">
        <f>MIN(3, SUMPRODUCT((MOD('Streak'!C48:Y48,5)=0)*(MOD('Streak'!C48:Y48,10)&lt;&gt;0)*('Streak'!C48:Y48&gt;0))) * 5</f>
      </c>
      <c r="AD48" s="24">
        <f>MIN(2, SUMPRODUCT((MOD('Streak'!C48:Y48,10)=0)*('Streak'!C48:Y48&gt;0))) * 20</f>
      </c>
      <c r="AE48" s="25">
        <f t="shared" si="0"/>
      </c>
    </row>
    <row r="49">
      <c r="A49" s="17">
        <f t="shared" si="2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20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1">
        <v>0</v>
      </c>
      <c r="AA49" s="22">
        <f t="shared" si="1"/>
      </c>
      <c r="AB49" s="23">
        <v>0</v>
      </c>
      <c r="AC49" s="24">
        <f>MIN(3, SUMPRODUCT((MOD('Streak'!C49:Y49,5)=0)*(MOD('Streak'!C49:Y49,10)&lt;&gt;0)*('Streak'!C49:Y49&gt;0))) * 5</f>
      </c>
      <c r="AD49" s="24">
        <f>MIN(2, SUMPRODUCT((MOD('Streak'!C49:Y49,10)=0)*('Streak'!C49:Y49&gt;0))) * 20</f>
      </c>
      <c r="AE49" s="25">
        <f t="shared" si="0"/>
      </c>
    </row>
    <row r="50">
      <c r="A50" s="17">
        <f t="shared" si="2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1">
        <v>0</v>
      </c>
      <c r="AA50" s="22">
        <f t="shared" si="1"/>
      </c>
      <c r="AB50" s="23">
        <v>0</v>
      </c>
      <c r="AC50" s="24">
        <f>MIN(3, SUMPRODUCT((MOD('Streak'!C50:Y50,5)=0)*(MOD('Streak'!C50:Y50,10)&lt;&gt;0)*('Streak'!C50:Y50&gt;0))) * 5</f>
      </c>
      <c r="AD50" s="24">
        <f>MIN(2, SUMPRODUCT((MOD('Streak'!C50:Y50,10)=0)*('Streak'!C50:Y50&gt;0))) * 20</f>
      </c>
      <c r="AE50" s="25">
        <f t="shared" si="0"/>
      </c>
    </row>
    <row r="51">
      <c r="A51" s="17">
        <f t="shared" si="2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1">
        <v>0</v>
      </c>
      <c r="AA51" s="22">
        <f t="shared" si="1"/>
      </c>
      <c r="AB51" s="23">
        <v>0</v>
      </c>
      <c r="AC51" s="24">
        <f>MIN(3, SUMPRODUCT((MOD('Streak'!C51:Y51,5)=0)*(MOD('Streak'!C51:Y51,10)&lt;&gt;0)*('Streak'!C51:Y51&gt;0))) * 5</f>
      </c>
      <c r="AD51" s="24">
        <f>MIN(2, SUMPRODUCT((MOD('Streak'!C51:Y51,10)=0)*('Streak'!C51:Y51&gt;0))) * 20</f>
      </c>
      <c r="AE51" s="25">
        <f t="shared" si="0"/>
      </c>
    </row>
    <row customHeight="true" ht="18" r="52">
      <c r="A52" s="17">
        <f t="shared" si="2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20">
        <v>1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1">
        <v>0</v>
      </c>
      <c r="AA52" s="22">
        <f t="shared" si="1"/>
      </c>
      <c r="AB52" s="23">
        <v>0</v>
      </c>
      <c r="AC52" s="24">
        <f>MIN(3, SUMPRODUCT((MOD('Streak'!C52:Y52,5)=0)*(MOD('Streak'!C52:Y52,10)&lt;&gt;0)*('Streak'!C52:Y52&gt;0))) * 5</f>
      </c>
      <c r="AD52" s="24">
        <f>MIN(2, SUMPRODUCT((MOD('Streak'!C52:Y52,10)=0)*('Streak'!C52:Y52&gt;0))) * 20</f>
      </c>
      <c r="AE52" s="25">
        <f t="shared" si="0"/>
      </c>
    </row>
    <row customHeight="true" ht="18" r="53">
      <c r="A53" s="17">
        <f t="shared" si="2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1">
        <v>0</v>
      </c>
      <c r="AA53" s="22">
        <f t="shared" si="1"/>
      </c>
      <c r="AB53" s="23">
        <v>0</v>
      </c>
      <c r="AC53" s="24">
        <f>MIN(3, SUMPRODUCT((MOD('Streak'!C53:Y53,5)=0)*(MOD('Streak'!C53:Y53,10)&lt;&gt;0)*('Streak'!C53:Y53&gt;0))) * 5</f>
      </c>
      <c r="AD53" s="24">
        <f>MIN(2, SUMPRODUCT((MOD('Streak'!C53:Y53,10)=0)*('Streak'!C53:Y53&gt;0))) * 20</f>
      </c>
      <c r="AE53" s="25">
        <f t="shared" si="0"/>
      </c>
    </row>
    <row customHeight="true" ht="18" r="54">
      <c r="A54" s="17">
        <f t="shared" si="2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20">
        <v>1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1">
        <v>0</v>
      </c>
      <c r="AA54" s="22">
        <f t="shared" si="1"/>
      </c>
      <c r="AB54" s="23">
        <v>0</v>
      </c>
      <c r="AC54" s="24">
        <f>MIN(3, SUMPRODUCT((MOD('Streak'!C54:Y54,5)=0)*(MOD('Streak'!C54:Y54,10)&lt;&gt;0)*('Streak'!C54:Y54&gt;0))) * 5</f>
      </c>
      <c r="AD54" s="24">
        <f>MIN(2, SUMPRODUCT((MOD('Streak'!C54:Y54,10)=0)*('Streak'!C54:Y54&gt;0))) * 20</f>
      </c>
      <c r="AE54" s="25">
        <f t="shared" si="0"/>
      </c>
    </row>
    <row customHeight="true" ht="18" r="55">
      <c r="A55" s="17">
        <f t="shared" si="2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20">
        <v>1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1">
        <v>0</v>
      </c>
      <c r="AA55" s="22">
        <f t="shared" si="1"/>
      </c>
      <c r="AB55" s="23">
        <v>0</v>
      </c>
      <c r="AC55" s="24">
        <f>MIN(3, SUMPRODUCT((MOD('Streak'!C55:Y55,5)=0)*(MOD('Streak'!C55:Y55,10)&lt;&gt;0)*('Streak'!C55:Y55&gt;0))) * 5</f>
      </c>
      <c r="AD55" s="24">
        <f>MIN(2, SUMPRODUCT((MOD('Streak'!C55:Y55,10)=0)*('Streak'!C55:Y55&gt;0))) * 20</f>
      </c>
      <c r="AE55" s="25">
        <f t="shared" si="0"/>
      </c>
    </row>
    <row customHeight="true" ht="18" r="56">
      <c r="A56" s="17">
        <f t="shared" si="2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1">
        <v>0</v>
      </c>
      <c r="AA56" s="22">
        <f t="shared" si="1"/>
      </c>
      <c r="AB56" s="23">
        <v>0</v>
      </c>
      <c r="AC56" s="24">
        <f>MIN(3, SUMPRODUCT((MOD('Streak'!C56:Y56,5)=0)*(MOD('Streak'!C56:Y56,10)&lt;&gt;0)*('Streak'!C56:Y56&gt;0))) * 5</f>
      </c>
      <c r="AD56" s="24">
        <f>MIN(2, SUMPRODUCT((MOD('Streak'!C56:Y56,10)=0)*('Streak'!C56:Y56&gt;0))) * 20</f>
      </c>
      <c r="AE56" s="25">
        <f t="shared" si="0"/>
      </c>
    </row>
    <row customHeight="true" ht="18" r="57">
      <c r="A57" s="17">
        <f t="shared" si="2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1">
        <v>0</v>
      </c>
      <c r="AA57" s="22">
        <f t="shared" si="1"/>
      </c>
      <c r="AB57" s="23">
        <v>0</v>
      </c>
      <c r="AC57" s="24">
        <f>MIN(3, SUMPRODUCT((MOD('Streak'!C57:Y57,5)=0)*(MOD('Streak'!C57:Y57,10)&lt;&gt;0)*('Streak'!C57:Y57&gt;0))) * 5</f>
      </c>
      <c r="AD57" s="24">
        <f>MIN(2, SUMPRODUCT((MOD('Streak'!C57:Y57,10)=0)*('Streak'!C57:Y57&gt;0))) * 20</f>
      </c>
      <c r="AE57" s="25">
        <f t="shared" si="0"/>
      </c>
    </row>
    <row customHeight="true" ht="18" r="58">
      <c r="A58" s="17">
        <f t="shared" si="2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20">
        <v>1</v>
      </c>
      <c r="J58" s="20">
        <v>1</v>
      </c>
      <c r="K58" s="20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1">
        <v>0</v>
      </c>
      <c r="AA58" s="22">
        <f t="shared" si="1"/>
      </c>
      <c r="AB58" s="23">
        <v>0</v>
      </c>
      <c r="AC58" s="24">
        <f>MIN(3, SUMPRODUCT((MOD('Streak'!C58:Y58,5)=0)*(MOD('Streak'!C58:Y58,10)&lt;&gt;0)*('Streak'!C58:Y58&gt;0))) * 5</f>
      </c>
      <c r="AD58" s="24">
        <f>MIN(2, SUMPRODUCT((MOD('Streak'!C58:Y58,10)=0)*('Streak'!C58:Y58&gt;0))) * 20</f>
      </c>
      <c r="AE58" s="25">
        <f t="shared" si="0"/>
      </c>
    </row>
    <row customHeight="true" ht="18" r="59">
      <c r="A59" s="17">
        <f t="shared" si="2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20">
        <v>1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1">
        <v>0</v>
      </c>
      <c r="AA59" s="22">
        <f t="shared" si="1"/>
      </c>
      <c r="AB59" s="23">
        <v>0</v>
      </c>
      <c r="AC59" s="24">
        <f>MIN(3, SUMPRODUCT((MOD('Streak'!C59:Y59,5)=0)*(MOD('Streak'!C59:Y59,10)&lt;&gt;0)*('Streak'!C59:Y59&gt;0))) * 5</f>
      </c>
      <c r="AD59" s="24">
        <f>MIN(2, SUMPRODUCT((MOD('Streak'!C59:Y59,10)=0)*('Streak'!C59:Y59&gt;0))) * 20</f>
      </c>
      <c r="AE59" s="25">
        <f t="shared" si="0"/>
      </c>
    </row>
    <row customHeight="true" ht="18" r="60">
      <c r="A60" s="17">
        <f t="shared" si="2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20">
        <v>1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1">
        <v>0</v>
      </c>
      <c r="AA60" s="22">
        <f t="shared" si="1"/>
      </c>
      <c r="AB60" s="23">
        <v>0</v>
      </c>
      <c r="AC60" s="24">
        <f>MIN(3, SUMPRODUCT((MOD('Streak'!C60:Y60,5)=0)*(MOD('Streak'!C60:Y60,10)&lt;&gt;0)*('Streak'!C60:Y60&gt;0))) * 5</f>
      </c>
      <c r="AD60" s="24">
        <f>MIN(2, SUMPRODUCT((MOD('Streak'!C60:Y60,10)=0)*('Streak'!C60:Y60&gt;0))) * 20</f>
      </c>
      <c r="AE60" s="25">
        <f t="shared" si="0"/>
      </c>
    </row>
    <row customHeight="true" ht="18" r="61">
      <c r="A61" s="17">
        <f t="shared" si="2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1">
        <v>0</v>
      </c>
      <c r="AA61" s="22">
        <f t="shared" si="1"/>
      </c>
      <c r="AB61" s="23">
        <v>0</v>
      </c>
      <c r="AC61" s="24">
        <f>MIN(3, SUMPRODUCT((MOD('Streak'!C61:Y61,5)=0)*(MOD('Streak'!C61:Y61,10)&lt;&gt;0)*('Streak'!C61:Y61&gt;0))) * 5</f>
      </c>
      <c r="AD61" s="24">
        <f>MIN(2, SUMPRODUCT((MOD('Streak'!C61:Y61,10)=0)*('Streak'!C61:Y61&gt;0))) * 20</f>
      </c>
      <c r="AE61" s="25">
        <f t="shared" si="0"/>
      </c>
    </row>
    <row customHeight="true" ht="18" r="62">
      <c r="A62" s="17">
        <f t="shared" si="2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20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1">
        <v>0</v>
      </c>
      <c r="AA62" s="22">
        <f t="shared" si="1"/>
      </c>
      <c r="AB62" s="23">
        <v>0</v>
      </c>
      <c r="AC62" s="24">
        <f>MIN(3, SUMPRODUCT((MOD('Streak'!C62:Y62,5)=0)*(MOD('Streak'!C62:Y62,10)&lt;&gt;0)*('Streak'!C62:Y62&gt;0))) * 5</f>
      </c>
      <c r="AD62" s="24">
        <f>MIN(2, SUMPRODUCT((MOD('Streak'!C62:Y62,10)=0)*('Streak'!C62:Y62&gt;0))) * 20</f>
      </c>
      <c r="AE62" s="25">
        <f t="shared" si="0"/>
      </c>
    </row>
    <row customHeight="true" ht="18" r="63">
      <c r="A63" s="17">
        <f t="shared" si="2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1">
        <v>0</v>
      </c>
      <c r="AA63" s="22">
        <f t="shared" si="1"/>
      </c>
      <c r="AB63" s="23">
        <v>0</v>
      </c>
      <c r="AC63" s="24">
        <f>MIN(3, SUMPRODUCT((MOD('Streak'!C63:Y63,5)=0)*(MOD('Streak'!C63:Y63,10)&lt;&gt;0)*('Streak'!C63:Y63&gt;0))) * 5</f>
      </c>
      <c r="AD63" s="24">
        <f>MIN(2, SUMPRODUCT((MOD('Streak'!C63:Y63,10)=0)*('Streak'!C63:Y63&gt;0))) * 20</f>
      </c>
      <c r="AE63" s="25">
        <f t="shared" si="0"/>
      </c>
    </row>
    <row customHeight="true" ht="18" r="64">
      <c r="A64" s="17">
        <f t="shared" si="2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1">
        <v>0</v>
      </c>
      <c r="AA64" s="22">
        <f t="shared" si="1"/>
      </c>
      <c r="AB64" s="23">
        <v>0</v>
      </c>
      <c r="AC64" s="24">
        <f>MIN(3, SUMPRODUCT((MOD('Streak'!C64:Y64,5)=0)*(MOD('Streak'!C64:Y64,10)&lt;&gt;0)*('Streak'!C64:Y64&gt;0))) * 5</f>
      </c>
      <c r="AD64" s="24">
        <f>MIN(2, SUMPRODUCT((MOD('Streak'!C64:Y64,10)=0)*('Streak'!C64:Y64&gt;0))) * 20</f>
      </c>
      <c r="AE64" s="25">
        <f t="shared" si="0"/>
      </c>
    </row>
    <row customHeight="true" ht="18" r="65">
      <c r="A65" s="17">
        <f t="shared" si="2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1">
        <v>0</v>
      </c>
      <c r="AA65" s="22">
        <f t="shared" si="1"/>
      </c>
      <c r="AB65" s="23">
        <v>0</v>
      </c>
      <c r="AC65" s="24">
        <f>MIN(3, SUMPRODUCT((MOD('Streak'!C65:Y65,5)=0)*(MOD('Streak'!C65:Y65,10)&lt;&gt;0)*('Streak'!C65:Y65&gt;0))) * 5</f>
      </c>
      <c r="AD65" s="24">
        <f>MIN(2, SUMPRODUCT((MOD('Streak'!C65:Y65,10)=0)*('Streak'!C65:Y65&gt;0))) * 20</f>
      </c>
      <c r="AE65" s="25">
        <f t="shared" si="0"/>
      </c>
    </row>
    <row customHeight="true" ht="18" r="66">
      <c r="A66" s="17">
        <f t="shared" si="2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20">
        <v>1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1">
        <v>0</v>
      </c>
      <c r="AA66" s="22">
        <f t="shared" si="1"/>
      </c>
      <c r="AB66" s="23">
        <v>0</v>
      </c>
      <c r="AC66" s="24">
        <f>MIN(3, SUMPRODUCT((MOD('Streak'!C66:Y66,5)=0)*(MOD('Streak'!C66:Y66,10)&lt;&gt;0)*('Streak'!C66:Y66&gt;0))) * 5</f>
      </c>
      <c r="AD66" s="24">
        <f>MIN(2, SUMPRODUCT((MOD('Streak'!C66:Y66,10)=0)*('Streak'!C66:Y66&gt;0))) * 20</f>
      </c>
      <c r="AE66" s="25">
        <f t="shared" si="0"/>
      </c>
    </row>
    <row customHeight="true" ht="18" r="67">
      <c r="A67" s="17">
        <f t="shared" si="2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1">
        <v>0</v>
      </c>
      <c r="AA67" s="22">
        <f t="shared" si="1"/>
      </c>
      <c r="AB67" s="23">
        <v>0</v>
      </c>
      <c r="AC67" s="24">
        <f>MIN(3, SUMPRODUCT((MOD('Streak'!C67:Y67,5)=0)*(MOD('Streak'!C67:Y67,10)&lt;&gt;0)*('Streak'!C67:Y67&gt;0))) * 5</f>
      </c>
      <c r="AD67" s="24">
        <f>MIN(2, SUMPRODUCT((MOD('Streak'!C67:Y67,10)=0)*('Streak'!C67:Y67&gt;0))) * 20</f>
      </c>
      <c r="AE67" s="25">
        <f t="shared" si="0"/>
      </c>
    </row>
    <row customHeight="true" ht="18" r="68">
      <c r="A68" s="17">
        <f t="shared" si="2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1">
        <v>0</v>
      </c>
      <c r="AA68" s="22">
        <f t="shared" si="1"/>
      </c>
      <c r="AB68" s="23">
        <v>0</v>
      </c>
      <c r="AC68" s="24">
        <f>MIN(3, SUMPRODUCT((MOD('Streak'!C68:Y68,5)=0)*(MOD('Streak'!C68:Y68,10)&lt;&gt;0)*('Streak'!C68:Y68&gt;0))) * 5</f>
      </c>
      <c r="AD68" s="24">
        <f>MIN(2, SUMPRODUCT((MOD('Streak'!C68:Y68,10)=0)*('Streak'!C68:Y68&gt;0))) * 20</f>
      </c>
      <c r="AE68" s="25">
        <f t="shared" si="0"/>
      </c>
    </row>
    <row customHeight="true" ht="18" r="69">
      <c r="A69" s="17">
        <f t="shared" si="2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20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1">
        <v>0</v>
      </c>
      <c r="AA69" s="22">
        <f t="shared" si="1"/>
      </c>
      <c r="AB69" s="23">
        <v>0</v>
      </c>
      <c r="AC69" s="24">
        <f>MIN(3, SUMPRODUCT((MOD('Streak'!C69:Y69,5)=0)*(MOD('Streak'!C69:Y69,10)&lt;&gt;0)*('Streak'!C69:Y69&gt;0))) * 5</f>
      </c>
      <c r="AD69" s="24">
        <f>MIN(2, SUMPRODUCT((MOD('Streak'!C69:Y69,10)=0)*('Streak'!C69:Y69&gt;0))) * 20</f>
      </c>
      <c r="AE69" s="25">
        <f t="shared" si="0"/>
      </c>
    </row>
    <row customHeight="true" ht="18" r="70">
      <c r="A70" s="17">
        <f t="shared" si="2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1">
        <v>0</v>
      </c>
      <c r="AA70" s="22">
        <f t="shared" si="1"/>
      </c>
      <c r="AB70" s="23">
        <v>0</v>
      </c>
      <c r="AC70" s="24">
        <f>MIN(3, SUMPRODUCT((MOD('Streak'!C70:Y70,5)=0)*(MOD('Streak'!C70:Y70,10)&lt;&gt;0)*('Streak'!C70:Y70&gt;0))) * 5</f>
      </c>
      <c r="AD70" s="24">
        <f>MIN(2, SUMPRODUCT((MOD('Streak'!C70:Y70,10)=0)*('Streak'!C70:Y70&gt;0))) * 20</f>
      </c>
      <c r="AE70" s="25">
        <f t="shared" si="0"/>
      </c>
    </row>
    <row customHeight="true" ht="18" r="71">
      <c r="A71" s="17">
        <f t="shared" si="2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20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1">
        <v>0</v>
      </c>
      <c r="AA71" s="22">
        <f t="shared" si="1"/>
      </c>
      <c r="AB71" s="23">
        <v>0</v>
      </c>
      <c r="AC71" s="24">
        <f>MIN(3, SUMPRODUCT((MOD('Streak'!C71:Y71,5)=0)*(MOD('Streak'!C71:Y71,10)&lt;&gt;0)*('Streak'!C71:Y71&gt;0))) * 5</f>
      </c>
      <c r="AD71" s="24">
        <f>MIN(2, SUMPRODUCT((MOD('Streak'!C71:Y71,10)=0)*('Streak'!C71:Y71&gt;0))) * 20</f>
      </c>
      <c r="AE71" s="25">
        <f t="shared" si="0"/>
      </c>
    </row>
    <row customHeight="true" ht="18" r="72">
      <c r="A72" s="17">
        <f t="shared" si="2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1">
        <v>0</v>
      </c>
      <c r="AA72" s="22">
        <f t="shared" si="1"/>
      </c>
      <c r="AB72" s="23">
        <v>0</v>
      </c>
      <c r="AC72" s="24">
        <f>MIN(3, SUMPRODUCT((MOD('Streak'!C72:Y72,5)=0)*(MOD('Streak'!C72:Y72,10)&lt;&gt;0)*('Streak'!C72:Y72&gt;0))) * 5</f>
      </c>
      <c r="AD72" s="24">
        <f>MIN(2, SUMPRODUCT((MOD('Streak'!C72:Y72,10)=0)*('Streak'!C72:Y72&gt;0))) * 20</f>
      </c>
      <c r="AE72" s="25">
        <f t="shared" si="0"/>
      </c>
    </row>
    <row customHeight="true" ht="18" r="73">
      <c r="A73" s="17">
        <f t="shared" si="2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20">
        <v>1</v>
      </c>
      <c r="J73" s="20">
        <v>1</v>
      </c>
      <c r="K73" s="20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1">
        <v>0</v>
      </c>
      <c r="AA73" s="22">
        <f t="shared" si="1"/>
      </c>
      <c r="AB73" s="23">
        <v>0</v>
      </c>
      <c r="AC73" s="24">
        <f>MIN(3, SUMPRODUCT((MOD('Streak'!C73:Y73,5)=0)*(MOD('Streak'!C73:Y73,10)&lt;&gt;0)*('Streak'!C73:Y73&gt;0))) * 5</f>
      </c>
      <c r="AD73" s="24">
        <f>MIN(2, SUMPRODUCT((MOD('Streak'!C73:Y73,10)=0)*('Streak'!C73:Y73&gt;0))) * 20</f>
      </c>
      <c r="AE73" s="25">
        <f t="shared" si="0"/>
      </c>
    </row>
    <row customHeight="true" ht="18" r="74">
      <c r="A74" s="17">
        <f t="shared" si="2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20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1">
        <v>0</v>
      </c>
      <c r="AA74" s="22">
        <f t="shared" si="1"/>
      </c>
      <c r="AB74" s="23">
        <v>0</v>
      </c>
      <c r="AC74" s="24">
        <f>MIN(3, SUMPRODUCT((MOD('Streak'!C74:Y74,5)=0)*(MOD('Streak'!C74:Y74,10)&lt;&gt;0)*('Streak'!C74:Y74&gt;0))) * 5</f>
      </c>
      <c r="AD74" s="24">
        <f>MIN(2, SUMPRODUCT((MOD('Streak'!C74:Y74,10)=0)*('Streak'!C74:Y74&gt;0))) * 20</f>
      </c>
      <c r="AE74" s="25">
        <f t="shared" si="0"/>
      </c>
    </row>
    <row customHeight="true" ht="18" r="75">
      <c r="A75" s="17">
        <f t="shared" si="2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20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1">
        <v>0</v>
      </c>
      <c r="AA75" s="22">
        <f t="shared" si="1"/>
      </c>
      <c r="AB75" s="23">
        <v>0</v>
      </c>
      <c r="AC75" s="24">
        <f>MIN(3, SUMPRODUCT((MOD('Streak'!C75:Y75,5)=0)*(MOD('Streak'!C75:Y75,10)&lt;&gt;0)*('Streak'!C75:Y75&gt;0))) * 5</f>
      </c>
      <c r="AD75" s="24">
        <f>MIN(2, SUMPRODUCT((MOD('Streak'!C75:Y75,10)=0)*('Streak'!C75:Y75&gt;0))) * 20</f>
      </c>
      <c r="AE75" s="25">
        <f t="shared" si="0"/>
      </c>
    </row>
    <row customHeight="true" ht="18" r="76">
      <c r="A76" s="17">
        <f t="shared" si="2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20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1">
        <v>0</v>
      </c>
      <c r="AA76" s="22">
        <f t="shared" si="1"/>
      </c>
      <c r="AB76" s="23">
        <v>0</v>
      </c>
      <c r="AC76" s="24">
        <f>MIN(3, SUMPRODUCT((MOD('Streak'!C76:Y76,5)=0)*(MOD('Streak'!C76:Y76,10)&lt;&gt;0)*('Streak'!C76:Y76&gt;0))) * 5</f>
      </c>
      <c r="AD76" s="24">
        <f>MIN(2, SUMPRODUCT((MOD('Streak'!C76:Y76,10)=0)*('Streak'!C76:Y76&gt;0))) * 20</f>
      </c>
      <c r="AE76" s="25">
        <f t="shared" si="0"/>
      </c>
    </row>
    <row customHeight="true" ht="18" r="77">
      <c r="A77" s="17">
        <f t="shared" si="2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20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1">
        <v>0</v>
      </c>
      <c r="AA77" s="22">
        <f t="shared" si="1"/>
      </c>
      <c r="AB77" s="23">
        <v>0</v>
      </c>
      <c r="AC77" s="24">
        <f>MIN(3, SUMPRODUCT((MOD('Streak'!C77:Y77,5)=0)*(MOD('Streak'!C77:Y77,10)&lt;&gt;0)*('Streak'!C77:Y77&gt;0))) * 5</f>
      </c>
      <c r="AD77" s="24">
        <f>MIN(2, SUMPRODUCT((MOD('Streak'!C77:Y77,10)=0)*('Streak'!C77:Y77&gt;0))) * 20</f>
      </c>
      <c r="AE77" s="25">
        <f t="shared" si="0"/>
      </c>
    </row>
    <row customHeight="true" ht="18" r="78">
      <c r="A78" s="17">
        <f t="shared" si="2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20">
        <v>1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1">
        <v>0</v>
      </c>
      <c r="AA78" s="22">
        <f t="shared" si="1"/>
      </c>
      <c r="AB78" s="23">
        <v>0</v>
      </c>
      <c r="AC78" s="24">
        <f>MIN(3, SUMPRODUCT((MOD('Streak'!C78:Y78,5)=0)*(MOD('Streak'!C78:Y78,10)&lt;&gt;0)*('Streak'!C78:Y78&gt;0))) * 5</f>
      </c>
      <c r="AD78" s="24">
        <f>MIN(2, SUMPRODUCT((MOD('Streak'!C78:Y78,10)=0)*('Streak'!C78:Y78&gt;0))) * 20</f>
      </c>
      <c r="AE78" s="25">
        <f t="shared" si="0"/>
      </c>
    </row>
    <row customHeight="true" ht="18" r="79">
      <c r="A79" s="17">
        <f t="shared" si="2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20">
        <v>1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1">
        <v>0</v>
      </c>
      <c r="AA79" s="22">
        <f t="shared" si="1"/>
      </c>
      <c r="AB79" s="23">
        <v>0</v>
      </c>
      <c r="AC79" s="24">
        <f>MIN(3, SUMPRODUCT((MOD('Streak'!C79:Y79,5)=0)*(MOD('Streak'!C79:Y79,10)&lt;&gt;0)*('Streak'!C79:Y79&gt;0))) * 5</f>
      </c>
      <c r="AD79" s="24">
        <f>MIN(2, SUMPRODUCT((MOD('Streak'!C79:Y79,10)=0)*('Streak'!C79:Y79&gt;0))) * 20</f>
      </c>
      <c r="AE79" s="25">
        <f t="shared" si="0"/>
      </c>
    </row>
    <row customHeight="true" ht="18" r="80">
      <c r="A80" s="17">
        <f t="shared" si="2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20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1">
        <v>0</v>
      </c>
      <c r="AA80" s="22">
        <f t="shared" si="1"/>
      </c>
      <c r="AB80" s="23">
        <v>0</v>
      </c>
      <c r="AC80" s="24">
        <f>MIN(3, SUMPRODUCT((MOD('Streak'!C80:Y80,5)=0)*(MOD('Streak'!C80:Y80,10)&lt;&gt;0)*('Streak'!C80:Y80&gt;0))) * 5</f>
      </c>
      <c r="AD80" s="24">
        <f>MIN(2, SUMPRODUCT((MOD('Streak'!C80:Y80,10)=0)*('Streak'!C80:Y80&gt;0))) * 20</f>
      </c>
      <c r="AE80" s="25">
        <f t="shared" si="0"/>
      </c>
    </row>
    <row customHeight="true" ht="18" r="81">
      <c r="A81" s="17">
        <f t="shared" si="2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20">
        <v>1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1">
        <v>0</v>
      </c>
      <c r="AA81" s="22">
        <f t="shared" si="1"/>
      </c>
      <c r="AB81" s="23">
        <v>0</v>
      </c>
      <c r="AC81" s="24">
        <f>MIN(3, SUMPRODUCT((MOD('Streak'!C81:Y81,5)=0)*(MOD('Streak'!C81:Y81,10)&lt;&gt;0)*('Streak'!C81:Y81&gt;0))) * 5</f>
      </c>
      <c r="AD81" s="24">
        <f>MIN(2, SUMPRODUCT((MOD('Streak'!C81:Y81,10)=0)*('Streak'!C81:Y81&gt;0))) * 20</f>
      </c>
      <c r="AE81" s="25">
        <f t="shared" si="0"/>
      </c>
    </row>
    <row customHeight="true" ht="18" r="82">
      <c r="A82" s="17">
        <f t="shared" si="2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20">
        <v>1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1">
        <v>0</v>
      </c>
      <c r="AA82" s="22">
        <f t="shared" si="1"/>
      </c>
      <c r="AB82" s="23">
        <v>0</v>
      </c>
      <c r="AC82" s="24">
        <f>MIN(3, SUMPRODUCT((MOD('Streak'!C82:Y82,5)=0)*(MOD('Streak'!C82:Y82,10)&lt;&gt;0)*('Streak'!C82:Y82&gt;0))) * 5</f>
      </c>
      <c r="AD82" s="24">
        <f>MIN(2, SUMPRODUCT((MOD('Streak'!C82:Y82,10)=0)*('Streak'!C82:Y82&gt;0))) * 20</f>
      </c>
      <c r="AE82" s="25">
        <f t="shared" si="0"/>
      </c>
    </row>
    <row customHeight="true" ht="18" r="83">
      <c r="A83" s="17">
        <f t="shared" si="2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20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1">
        <v>0</v>
      </c>
      <c r="AA83" s="22">
        <f t="shared" si="1"/>
      </c>
      <c r="AB83" s="23">
        <v>0</v>
      </c>
      <c r="AC83" s="24">
        <f>MIN(3, SUMPRODUCT((MOD('Streak'!C83:Y83,5)=0)*(MOD('Streak'!C83:Y83,10)&lt;&gt;0)*('Streak'!C83:Y83&gt;0))) * 5</f>
      </c>
      <c r="AD83" s="24">
        <f>MIN(2, SUMPRODUCT((MOD('Streak'!C83:Y83,10)=0)*('Streak'!C83:Y83&gt;0))) * 20</f>
      </c>
      <c r="AE83" s="25">
        <f t="shared" si="0"/>
      </c>
    </row>
    <row customHeight="true" ht="18" r="84">
      <c r="A84" s="17">
        <f t="shared" si="2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20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1">
        <v>0</v>
      </c>
      <c r="AA84" s="22">
        <f t="shared" si="1"/>
      </c>
      <c r="AB84" s="23">
        <v>0</v>
      </c>
      <c r="AC84" s="24">
        <f>MIN(3, SUMPRODUCT((MOD('Streak'!C84:Y84,5)=0)*(MOD('Streak'!C84:Y84,10)&lt;&gt;0)*('Streak'!C84:Y84&gt;0))) * 5</f>
      </c>
      <c r="AD84" s="24">
        <f>MIN(2, SUMPRODUCT((MOD('Streak'!C84:Y84,10)=0)*('Streak'!C84:Y84&gt;0))) * 20</f>
      </c>
      <c r="AE84" s="25">
        <f t="shared" si="0"/>
      </c>
    </row>
    <row customHeight="true" ht="18" r="85">
      <c r="A85" s="17">
        <f t="shared" si="2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20">
        <v>1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1">
        <v>0</v>
      </c>
      <c r="AA85" s="22">
        <f t="shared" si="1"/>
      </c>
      <c r="AB85" s="23">
        <v>0</v>
      </c>
      <c r="AC85" s="24">
        <f>MIN(3, SUMPRODUCT((MOD('Streak'!C85:Y85,5)=0)*(MOD('Streak'!C85:Y85,10)&lt;&gt;0)*('Streak'!C85:Y85&gt;0))) * 5</f>
      </c>
      <c r="AD85" s="24">
        <f>MIN(2, SUMPRODUCT((MOD('Streak'!C85:Y85,10)=0)*('Streak'!C85:Y85&gt;0))) * 20</f>
      </c>
      <c r="AE85" s="25">
        <f t="shared" si="0"/>
      </c>
    </row>
    <row customHeight="true" ht="18" r="86">
      <c r="A86" s="17">
        <f t="shared" si="2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20">
        <v>1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1">
        <v>0</v>
      </c>
      <c r="AA86" s="22">
        <f t="shared" si="1"/>
      </c>
      <c r="AB86" s="23">
        <v>0</v>
      </c>
      <c r="AC86" s="24">
        <f>MIN(3, SUMPRODUCT((MOD('Streak'!C86:Y86,5)=0)*(MOD('Streak'!C86:Y86,10)&lt;&gt;0)*('Streak'!C86:Y86&gt;0))) * 5</f>
      </c>
      <c r="AD86" s="24">
        <f>MIN(2, SUMPRODUCT((MOD('Streak'!C86:Y86,10)=0)*('Streak'!C86:Y86&gt;0))) * 20</f>
      </c>
      <c r="AE86" s="25">
        <f t="shared" si="0"/>
      </c>
    </row>
    <row customHeight="true" ht="18" r="87">
      <c r="A87" s="17">
        <f t="shared" si="2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20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1">
        <v>0</v>
      </c>
      <c r="AA87" s="22">
        <f t="shared" si="1"/>
      </c>
      <c r="AB87" s="23">
        <v>0</v>
      </c>
      <c r="AC87" s="24">
        <f>MIN(3, SUMPRODUCT((MOD('Streak'!C87:Y87,5)=0)*(MOD('Streak'!C87:Y87,10)&lt;&gt;0)*('Streak'!C87:Y87&gt;0))) * 5</f>
      </c>
      <c r="AD87" s="24">
        <f>MIN(2, SUMPRODUCT((MOD('Streak'!C87:Y87,10)=0)*('Streak'!C87:Y87&gt;0))) * 20</f>
      </c>
      <c r="AE87" s="25">
        <f t="shared" si="0"/>
      </c>
    </row>
    <row customHeight="true" ht="18" r="88">
      <c r="A88" s="17">
        <f t="shared" si="2"/>
      </c>
      <c r="B88" s="26"/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1">
        <v>0</v>
      </c>
      <c r="AA88" s="22">
        <f t="shared" si="1"/>
      </c>
      <c r="AB88" s="23">
        <v>0</v>
      </c>
      <c r="AC88" s="24">
        <f>MIN(3, SUMPRODUCT((MOD('Streak'!C88:Y88,5)=0)*(MOD('Streak'!C88:Y88,10)&lt;&gt;0)*('Streak'!C88:Y88&gt;0))) * 5</f>
      </c>
      <c r="AD88" s="24">
        <f>MIN(2, SUMPRODUCT((MOD('Streak'!C88:Y88,10)=0)*('Streak'!C88:Y88&gt;0))) * 20</f>
      </c>
      <c r="AE88" s="25">
        <f t="shared" si="0"/>
      </c>
    </row>
    <row customHeight="true" ht="18" r="89">
      <c r="A89" s="17">
        <f t="shared" si="2"/>
      </c>
      <c r="B89" s="26"/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1">
        <v>0</v>
      </c>
      <c r="AA89" s="22">
        <f t="shared" si="1"/>
      </c>
      <c r="AB89" s="23">
        <v>0</v>
      </c>
      <c r="AC89" s="24">
        <f>MIN(3, SUMPRODUCT((MOD('Streak'!C89:Y89,5)=0)*(MOD('Streak'!C89:Y89,10)&lt;&gt;0)*('Streak'!C89:Y89&gt;0))) * 5</f>
      </c>
      <c r="AD89" s="24">
        <f>MIN(2, SUMPRODUCT((MOD('Streak'!C89:Y89,10)=0)*('Streak'!C89:Y89&gt;0))) * 20</f>
      </c>
      <c r="AE89" s="25">
        <f t="shared" si="0"/>
      </c>
    </row>
    <row customHeight="true" ht="18" r="90">
      <c r="A90" s="17">
        <f t="shared" si="2"/>
      </c>
      <c r="B90" s="26"/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1">
        <v>0</v>
      </c>
      <c r="AA90" s="22">
        <f t="shared" si="1"/>
      </c>
      <c r="AB90" s="23">
        <v>0</v>
      </c>
      <c r="AC90" s="24">
        <f>MIN(3, SUMPRODUCT((MOD('Streak'!C90:Y90,5)=0)*(MOD('Streak'!C90:Y90,10)&lt;&gt;0)*('Streak'!C90:Y90&gt;0))) * 5</f>
      </c>
      <c r="AD90" s="24">
        <f>MIN(2, SUMPRODUCT((MOD('Streak'!C90:Y90,10)=0)*('Streak'!C90:Y90&gt;0))) * 20</f>
      </c>
      <c r="AE90" s="25">
        <f t="shared" si="0"/>
      </c>
    </row>
    <row customHeight="true" ht="18" r="91">
      <c r="A91" s="17">
        <f t="shared" si="2"/>
      </c>
      <c r="B91" s="26"/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1">
        <v>0</v>
      </c>
      <c r="AA91" s="22">
        <f t="shared" si="1"/>
      </c>
      <c r="AB91" s="23">
        <v>0</v>
      </c>
      <c r="AC91" s="24">
        <f>MIN(3, SUMPRODUCT((MOD('Streak'!C91:Y91,5)=0)*(MOD('Streak'!C91:Y91,10)&lt;&gt;0)*('Streak'!C91:Y91&gt;0))) * 5</f>
      </c>
      <c r="AD91" s="24">
        <f>MIN(2, SUMPRODUCT((MOD('Streak'!C91:Y91,10)=0)*('Streak'!C91:Y91&gt;0))) * 20</f>
      </c>
      <c r="AE91" s="25">
        <f t="shared" si="0"/>
      </c>
    </row>
    <row customHeight="true" ht="18" r="92">
      <c r="A92" s="17">
        <f t="shared" si="2"/>
      </c>
      <c r="B92" s="26"/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1">
        <v>0</v>
      </c>
      <c r="AA92" s="22">
        <f t="shared" si="1"/>
      </c>
      <c r="AB92" s="23">
        <v>0</v>
      </c>
      <c r="AC92" s="24">
        <f>MIN(3, SUMPRODUCT((MOD('Streak'!C92:Y92,5)=0)*(MOD('Streak'!C92:Y92,10)&lt;&gt;0)*('Streak'!C92:Y92&gt;0))) * 5</f>
      </c>
      <c r="AD92" s="24">
        <f>MIN(2, SUMPRODUCT((MOD('Streak'!C92:Y92,10)=0)*('Streak'!C92:Y92&gt;0))) * 20</f>
      </c>
      <c r="AE92" s="25">
        <f t="shared" si="0"/>
      </c>
    </row>
    <row customHeight="true" ht="18" r="93">
      <c r="A93" s="17">
        <f t="shared" si="2"/>
      </c>
      <c r="B93" s="26"/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1">
        <v>0</v>
      </c>
      <c r="AA93" s="22">
        <f t="shared" si="1"/>
      </c>
      <c r="AB93" s="23">
        <v>0</v>
      </c>
      <c r="AC93" s="24">
        <f>MIN(3, SUMPRODUCT((MOD('Streak'!C93:Y93,5)=0)*(MOD('Streak'!C93:Y93,10)&lt;&gt;0)*('Streak'!C93:Y93&gt;0))) * 5</f>
      </c>
      <c r="AD93" s="24">
        <f>MIN(2, SUMPRODUCT((MOD('Streak'!C93:Y93,10)=0)*('Streak'!C93:Y93&gt;0))) * 20</f>
      </c>
      <c r="AE93" s="25">
        <f t="shared" si="0"/>
      </c>
    </row>
    <row customHeight="true" ht="18" r="94">
      <c r="A94" s="17">
        <f t="shared" si="2"/>
      </c>
      <c r="B94" s="26"/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1">
        <v>0</v>
      </c>
      <c r="AA94" s="22">
        <f t="shared" si="1"/>
      </c>
      <c r="AB94" s="23">
        <v>0</v>
      </c>
      <c r="AC94" s="24">
        <f>MIN(3, SUMPRODUCT((MOD('Streak'!C94:Y94,5)=0)*(MOD('Streak'!C94:Y94,10)&lt;&gt;0)*('Streak'!C94:Y94&gt;0))) * 5</f>
      </c>
      <c r="AD94" s="24">
        <f>MIN(2, SUMPRODUCT((MOD('Streak'!C94:Y94,10)=0)*('Streak'!C94:Y94&gt;0))) * 20</f>
      </c>
      <c r="AE94" s="25">
        <f t="shared" si="0"/>
      </c>
    </row>
    <row customHeight="true" ht="18" r="95">
      <c r="A95" s="17">
        <f t="shared" si="2"/>
      </c>
      <c r="B95" s="26"/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1">
        <v>0</v>
      </c>
      <c r="AA95" s="22">
        <f t="shared" si="1"/>
      </c>
      <c r="AB95" s="23">
        <v>0</v>
      </c>
      <c r="AC95" s="24">
        <f>MIN(3, SUMPRODUCT((MOD('Streak'!C95:Y95,5)=0)*(MOD('Streak'!C95:Y95,10)&lt;&gt;0)*('Streak'!C95:Y95&gt;0))) * 5</f>
      </c>
      <c r="AD95" s="24">
        <f>MIN(2, SUMPRODUCT((MOD('Streak'!C95:Y95,10)=0)*('Streak'!C95:Y95&gt;0))) * 20</f>
      </c>
      <c r="AE95" s="25">
        <f t="shared" si="0"/>
      </c>
    </row>
    <row customHeight="true" ht="18" r="96">
      <c r="A96" s="17">
        <f t="shared" si="2"/>
      </c>
      <c r="B96" s="26"/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1">
        <v>0</v>
      </c>
      <c r="AA96" s="22">
        <f t="shared" si="1"/>
      </c>
      <c r="AB96" s="23">
        <v>0</v>
      </c>
      <c r="AC96" s="24">
        <f>MIN(3, SUMPRODUCT((MOD('Streak'!C96:Y96,5)=0)*(MOD('Streak'!C96:Y96,10)&lt;&gt;0)*('Streak'!C96:Y96&gt;0))) * 5</f>
      </c>
      <c r="AD96" s="24">
        <f>MIN(2, SUMPRODUCT((MOD('Streak'!C96:Y96,10)=0)*('Streak'!C96:Y96&gt;0))) * 20</f>
      </c>
      <c r="AE96" s="25">
        <f t="shared" si="0"/>
      </c>
    </row>
    <row customHeight="true" ht="18" r="97">
      <c r="A97" s="17">
        <f t="shared" si="2"/>
      </c>
      <c r="B97" s="26"/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1">
        <v>0</v>
      </c>
      <c r="AA97" s="22">
        <f t="shared" si="1"/>
      </c>
      <c r="AB97" s="23">
        <v>0</v>
      </c>
      <c r="AC97" s="24">
        <f>MIN(3, SUMPRODUCT((MOD('Streak'!C97:Y97,5)=0)*(MOD('Streak'!C97:Y97,10)&lt;&gt;0)*('Streak'!C97:Y97&gt;0))) * 5</f>
      </c>
      <c r="AD97" s="24">
        <f>MIN(2, SUMPRODUCT((MOD('Streak'!C97:Y97,10)=0)*('Streak'!C97:Y97&gt;0))) * 20</f>
      </c>
      <c r="AE97" s="25">
        <f t="shared" si="0"/>
      </c>
    </row>
    <row customHeight="true" ht="18" r="98">
      <c r="A98" s="17">
        <f t="shared" si="2"/>
      </c>
      <c r="B98" s="26"/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1">
        <v>0</v>
      </c>
      <c r="AA98" s="22">
        <f t="shared" si="1"/>
      </c>
      <c r="AB98" s="23">
        <v>0</v>
      </c>
      <c r="AC98" s="24">
        <f>MIN(3, SUMPRODUCT((MOD('Streak'!C98:Y98,5)=0)*(MOD('Streak'!C98:Y98,10)&lt;&gt;0)*('Streak'!C98:Y98&gt;0))) * 5</f>
      </c>
      <c r="AD98" s="24">
        <f>MIN(2, SUMPRODUCT((MOD('Streak'!C98:Y98,10)=0)*('Streak'!C98:Y98&gt;0))) * 20</f>
      </c>
      <c r="AE98" s="25">
        <f t="shared" si="0"/>
      </c>
    </row>
    <row customHeight="true" ht="18" r="99">
      <c r="A99" s="17">
        <f t="shared" si="2"/>
      </c>
      <c r="B99" s="26"/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1">
        <v>0</v>
      </c>
      <c r="AA99" s="22">
        <f t="shared" si="1"/>
      </c>
      <c r="AB99" s="23">
        <v>0</v>
      </c>
      <c r="AC99" s="24">
        <f>MIN(3, SUMPRODUCT((MOD('Streak'!C99:Y99,5)=0)*(MOD('Streak'!C99:Y99,10)&lt;&gt;0)*('Streak'!C99:Y99&gt;0))) * 5</f>
      </c>
      <c r="AD99" s="24">
        <f>MIN(2, SUMPRODUCT((MOD('Streak'!C99:Y99,10)=0)*('Streak'!C99:Y99&gt;0))) * 20</f>
      </c>
      <c r="AE99" s="25">
        <f t="shared" si="0"/>
      </c>
    </row>
    <row customHeight="true" ht="18" r="100">
      <c r="A100" s="17">
        <f t="shared" si="2"/>
      </c>
      <c r="B100" s="26"/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1">
        <v>0</v>
      </c>
      <c r="AA100" s="22">
        <f t="shared" si="1"/>
      </c>
      <c r="AB100" s="23">
        <v>0</v>
      </c>
      <c r="AC100" s="24">
        <f>MIN(3, SUMPRODUCT((MOD('Streak'!C100:Y100,5)=0)*(MOD('Streak'!C100:Y100,10)&lt;&gt;0)*('Streak'!C100:Y100&gt;0))) * 5</f>
      </c>
      <c r="AD100" s="24">
        <f>MIN(2, SUMPRODUCT((MOD('Streak'!C100:Y100,10)=0)*('Streak'!C100:Y100&gt;0))) * 20</f>
      </c>
      <c r="AE100" s="25">
        <f t="shared" si="0"/>
      </c>
    </row>
    <row customHeight="true" ht="18" r="101">
      <c r="A101" s="17">
        <f t="shared" si="2"/>
      </c>
      <c r="B101" s="26"/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1">
        <v>0</v>
      </c>
      <c r="AA101" s="22">
        <f t="shared" si="1"/>
      </c>
      <c r="AB101" s="23">
        <v>0</v>
      </c>
      <c r="AC101" s="24">
        <f>MIN(3, SUMPRODUCT((MOD('Streak'!C101:Y101,5)=0)*(MOD('Streak'!C101:Y101,10)&lt;&gt;0)*('Streak'!C101:Y101&gt;0))) * 5</f>
      </c>
      <c r="AD101" s="24">
        <f>MIN(2, SUMPRODUCT((MOD('Streak'!C101:Y101,10)=0)*('Streak'!C101:Y101&gt;0))) * 20</f>
      </c>
      <c r="AE101" s="25">
        <f t="shared" si="0"/>
      </c>
    </row>
    <row customHeight="true" ht="18" r="102">
      <c r="A102" s="17">
        <f t="shared" si="2"/>
      </c>
      <c r="B102" s="26"/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1">
        <v>0</v>
      </c>
      <c r="AA102" s="22">
        <f t="shared" si="1"/>
      </c>
      <c r="AB102" s="23">
        <v>0</v>
      </c>
      <c r="AC102" s="24">
        <f>MIN(3, SUMPRODUCT((MOD('Streak'!C102:Y102,5)=0)*(MOD('Streak'!C102:Y102,10)&lt;&gt;0)*('Streak'!C102:Y102&gt;0))) * 5</f>
      </c>
      <c r="AD102" s="24">
        <f>MIN(2, SUMPRODUCT((MOD('Streak'!C102:Y102,10)=0)*('Streak'!C102:Y102&gt;0))) * 20</f>
      </c>
      <c r="AE102" s="25">
        <f t="shared" si="0"/>
      </c>
    </row>
    <row customHeight="true" ht="18" r="103">
      <c r="A103" s="17">
        <f t="shared" si="2"/>
      </c>
      <c r="B103" s="26"/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1">
        <v>0</v>
      </c>
      <c r="AA103" s="22">
        <f t="shared" si="1"/>
      </c>
      <c r="AB103" s="23">
        <v>0</v>
      </c>
      <c r="AC103" s="24">
        <f>MIN(3, SUMPRODUCT((MOD('Streak'!C103:Y103,5)=0)*(MOD('Streak'!C103:Y103,10)&lt;&gt;0)*('Streak'!C103:Y103&gt;0))) * 5</f>
      </c>
      <c r="AD103" s="24">
        <f>MIN(2, SUMPRODUCT((MOD('Streak'!C103:Y103,10)=0)*('Streak'!C103:Y103&gt;0))) * 20</f>
      </c>
      <c r="AE103" s="25">
        <f t="shared" si="0"/>
      </c>
    </row>
    <row customHeight="true" ht="18" r="104">
      <c r="A104" s="17">
        <f t="shared" si="2"/>
      </c>
      <c r="B104" s="26"/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1">
        <v>0</v>
      </c>
      <c r="AA104" s="22">
        <f t="shared" si="1"/>
      </c>
      <c r="AB104" s="23">
        <v>0</v>
      </c>
      <c r="AC104" s="24">
        <f>MIN(3, SUMPRODUCT((MOD('Streak'!C104:Y104,5)=0)*(MOD('Streak'!C104:Y104,10)&lt;&gt;0)*('Streak'!C104:Y104&gt;0))) * 5</f>
      </c>
      <c r="AD104" s="24">
        <f>MIN(2, SUMPRODUCT((MOD('Streak'!C104:Y104,10)=0)*('Streak'!C104:Y104&gt;0))) * 20</f>
      </c>
      <c r="AE104" s="25">
        <f t="shared" si="0"/>
      </c>
    </row>
    <row customHeight="true" ht="18" r="105">
      <c r="A105" s="17">
        <f t="shared" si="2"/>
      </c>
      <c r="B105" s="26"/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1">
        <v>0</v>
      </c>
      <c r="AA105" s="22">
        <f t="shared" si="1"/>
      </c>
      <c r="AB105" s="23">
        <v>0</v>
      </c>
      <c r="AC105" s="24">
        <f>MIN(3, SUMPRODUCT((MOD('Streak'!C105:Y105,5)=0)*(MOD('Streak'!C105:Y105,10)&lt;&gt;0)*('Streak'!C105:Y105&gt;0))) * 5</f>
      </c>
      <c r="AD105" s="24">
        <f>MIN(2, SUMPRODUCT((MOD('Streak'!C105:Y105,10)=0)*('Streak'!C105:Y105&gt;0))) * 20</f>
      </c>
      <c r="AE105" s="25">
        <f t="shared" si="0"/>
      </c>
    </row>
    <row customHeight="true" ht="18" r="106">
      <c r="A106" s="17">
        <f t="shared" si="2"/>
      </c>
      <c r="B106" s="26"/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1">
        <v>0</v>
      </c>
      <c r="AA106" s="22">
        <f t="shared" si="1"/>
      </c>
      <c r="AB106" s="23">
        <v>0</v>
      </c>
      <c r="AC106" s="24">
        <f>MIN(3, SUMPRODUCT((MOD('Streak'!C106:Y106,5)=0)*(MOD('Streak'!C106:Y106,10)&lt;&gt;0)*('Streak'!C106:Y106&gt;0))) * 5</f>
      </c>
      <c r="AD106" s="24">
        <f>MIN(2, SUMPRODUCT((MOD('Streak'!C106:Y106,10)=0)*('Streak'!C106:Y106&gt;0))) * 20</f>
      </c>
      <c r="AE106" s="25">
        <f t="shared" si="0"/>
      </c>
    </row>
    <row customHeight="true" ht="18" r="107">
      <c r="A107" s="17">
        <f t="shared" si="2"/>
      </c>
      <c r="B107" s="26"/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1">
        <v>0</v>
      </c>
      <c r="AA107" s="22">
        <f t="shared" si="1"/>
      </c>
      <c r="AB107" s="23">
        <v>0</v>
      </c>
      <c r="AC107" s="24">
        <f>MIN(3, SUMPRODUCT((MOD('Streak'!C107:Y107,5)=0)*(MOD('Streak'!C107:Y107,10)&lt;&gt;0)*('Streak'!C107:Y107&gt;0))) * 5</f>
      </c>
      <c r="AD107" s="24">
        <f>MIN(2, SUMPRODUCT((MOD('Streak'!C107:Y107,10)=0)*('Streak'!C107:Y107&gt;0))) * 20</f>
      </c>
      <c r="AE107" s="25">
        <f t="shared" si="0"/>
      </c>
    </row>
    <row customHeight="true" ht="18" r="108">
      <c r="A108" s="17">
        <f t="shared" si="2"/>
      </c>
      <c r="B108" s="26"/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1">
        <v>0</v>
      </c>
      <c r="AA108" s="22">
        <f t="shared" si="1"/>
      </c>
      <c r="AB108" s="23">
        <v>0</v>
      </c>
      <c r="AC108" s="24">
        <f>MIN(3, SUMPRODUCT((MOD('Streak'!C108:Y108,5)=0)*(MOD('Streak'!C108:Y108,10)&lt;&gt;0)*('Streak'!C108:Y108&gt;0))) * 5</f>
      </c>
      <c r="AD108" s="24">
        <f>MIN(2, SUMPRODUCT((MOD('Streak'!C108:Y108,10)=0)*('Streak'!C108:Y108&gt;0))) * 20</f>
      </c>
      <c r="AE108" s="25">
        <f t="shared" si="0"/>
      </c>
    </row>
    <row customHeight="true" ht="18" r="109">
      <c r="A109" s="17">
        <f t="shared" si="2"/>
      </c>
      <c r="B109" s="26"/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1">
        <v>0</v>
      </c>
      <c r="AA109" s="22">
        <f t="shared" si="1"/>
      </c>
      <c r="AB109" s="23">
        <v>0</v>
      </c>
      <c r="AC109" s="24">
        <f>MIN(3, SUMPRODUCT((MOD('Streak'!C109:Y109,5)=0)*(MOD('Streak'!C109:Y109,10)&lt;&gt;0)*('Streak'!C109:Y109&gt;0))) * 5</f>
      </c>
      <c r="AD109" s="24">
        <f>MIN(2, SUMPRODUCT((MOD('Streak'!C109:Y109,10)=0)*('Streak'!C109:Y109&gt;0))) * 20</f>
      </c>
      <c r="AE109" s="25">
        <f t="shared" si="0"/>
      </c>
    </row>
    <row customHeight="true" ht="18" r="110">
      <c r="A110" s="17">
        <f t="shared" si="2"/>
      </c>
      <c r="B110" s="26"/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1">
        <v>0</v>
      </c>
      <c r="AA110" s="22">
        <f t="shared" si="1"/>
      </c>
      <c r="AB110" s="23">
        <v>0</v>
      </c>
      <c r="AC110" s="24">
        <f>MIN(3, SUMPRODUCT((MOD('Streak'!C110:Y110,5)=0)*(MOD('Streak'!C110:Y110,10)&lt;&gt;0)*('Streak'!C110:Y110&gt;0))) * 5</f>
      </c>
      <c r="AD110" s="24">
        <f>MIN(2, SUMPRODUCT((MOD('Streak'!C110:Y110,10)=0)*('Streak'!C110:Y110&gt;0))) * 20</f>
      </c>
      <c r="AE110" s="25">
        <f t="shared" si="0"/>
      </c>
    </row>
    <row customHeight="true" ht="18" r="111">
      <c r="A111" s="17">
        <f t="shared" si="2"/>
      </c>
      <c r="B111" s="26"/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1">
        <v>0</v>
      </c>
      <c r="AA111" s="22">
        <f t="shared" si="1"/>
      </c>
      <c r="AB111" s="23">
        <v>0</v>
      </c>
      <c r="AC111" s="24">
        <f>MIN(3, SUMPRODUCT((MOD('Streak'!C111:Y111,5)=0)*(MOD('Streak'!C111:Y111,10)&lt;&gt;0)*('Streak'!C111:Y111&gt;0))) * 5</f>
      </c>
      <c r="AD111" s="24">
        <f>MIN(2, SUMPRODUCT((MOD('Streak'!C111:Y111,10)=0)*('Streak'!C111:Y111&gt;0))) * 20</f>
      </c>
      <c r="AE111" s="25">
        <f t="shared" si="0"/>
      </c>
    </row>
    <row customHeight="true" ht="18" r="112">
      <c r="A112" s="17">
        <f t="shared" si="2"/>
      </c>
      <c r="B112" s="26"/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1">
        <v>0</v>
      </c>
      <c r="AA112" s="22">
        <f t="shared" si="1"/>
      </c>
      <c r="AB112" s="23">
        <v>0</v>
      </c>
      <c r="AC112" s="24">
        <f>MIN(3, SUMPRODUCT((MOD('Streak'!C112:Y112,5)=0)*(MOD('Streak'!C112:Y112,10)&lt;&gt;0)*('Streak'!C112:Y112&gt;0))) * 5</f>
      </c>
      <c r="AD112" s="24">
        <f>MIN(2, SUMPRODUCT((MOD('Streak'!C112:Y112,10)=0)*('Streak'!C112:Y112&gt;0))) * 20</f>
      </c>
      <c r="AE112" s="25">
        <f t="shared" si="0"/>
      </c>
    </row>
    <row customHeight="true" ht="18" r="113">
      <c r="A113" s="17">
        <f t="shared" si="2"/>
      </c>
      <c r="B113" s="26"/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1">
        <v>0</v>
      </c>
      <c r="AA113" s="22">
        <f t="shared" si="1"/>
      </c>
      <c r="AB113" s="23">
        <v>0</v>
      </c>
      <c r="AC113" s="24">
        <f>MIN(3, SUMPRODUCT((MOD('Streak'!C113:Y113,5)=0)*(MOD('Streak'!C113:Y113,10)&lt;&gt;0)*('Streak'!C113:Y113&gt;0))) * 5</f>
      </c>
      <c r="AD113" s="24">
        <f>MIN(2, SUMPRODUCT((MOD('Streak'!C113:Y113,10)=0)*('Streak'!C113:Y113&gt;0))) * 20</f>
      </c>
      <c r="AE113" s="25">
        <f t="shared" si="0"/>
      </c>
    </row>
    <row customHeight="true" ht="18" r="114">
      <c r="A114" s="17">
        <f t="shared" si="2"/>
      </c>
      <c r="B114" s="26"/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1">
        <v>0</v>
      </c>
      <c r="AA114" s="22">
        <f t="shared" si="1"/>
      </c>
      <c r="AB114" s="23">
        <v>0</v>
      </c>
      <c r="AC114" s="24">
        <f>MIN(3, SUMPRODUCT((MOD('Streak'!C114:Y114,5)=0)*(MOD('Streak'!C114:Y114,10)&lt;&gt;0)*('Streak'!C114:Y114&gt;0))) * 5</f>
      </c>
      <c r="AD114" s="24">
        <f>MIN(2, SUMPRODUCT((MOD('Streak'!C114:Y114,10)=0)*('Streak'!C114:Y114&gt;0))) * 20</f>
      </c>
      <c r="AE114" s="25">
        <f t="shared" si="0"/>
      </c>
    </row>
    <row customHeight="true" ht="18" r="115">
      <c r="A115" s="17">
        <f t="shared" si="2"/>
      </c>
      <c r="B115" s="26"/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1">
        <v>0</v>
      </c>
      <c r="AA115" s="22">
        <f t="shared" si="1"/>
      </c>
      <c r="AB115" s="23">
        <v>0</v>
      </c>
      <c r="AC115" s="24">
        <f>MIN(3, SUMPRODUCT((MOD('Streak'!C115:Y115,5)=0)*(MOD('Streak'!C115:Y115,10)&lt;&gt;0)*('Streak'!C115:Y115&gt;0))) * 5</f>
      </c>
      <c r="AD115" s="24">
        <f>MIN(2, SUMPRODUCT((MOD('Streak'!C115:Y115,10)=0)*('Streak'!C115:Y115&gt;0))) * 20</f>
      </c>
      <c r="AE115" s="25">
        <f t="shared" si="0"/>
      </c>
    </row>
    <row customHeight="true" ht="18" r="116">
      <c r="A116" s="17">
        <f t="shared" si="2"/>
      </c>
      <c r="B116" s="26"/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1">
        <v>0</v>
      </c>
      <c r="AA116" s="22">
        <f t="shared" si="1"/>
      </c>
      <c r="AB116" s="23">
        <v>0</v>
      </c>
      <c r="AC116" s="24">
        <f>MIN(3, SUMPRODUCT((MOD('Streak'!C116:Y116,5)=0)*(MOD('Streak'!C116:Y116,10)&lt;&gt;0)*('Streak'!C116:Y116&gt;0))) * 5</f>
      </c>
      <c r="AD116" s="24">
        <f>MIN(2, SUMPRODUCT((MOD('Streak'!C116:Y116,10)=0)*('Streak'!C116:Y116&gt;0))) * 20</f>
      </c>
      <c r="AE116" s="25">
        <f t="shared" si="0"/>
      </c>
    </row>
    <row customHeight="true" ht="18" r="117">
      <c r="A117" s="17">
        <f t="shared" si="2"/>
      </c>
      <c r="B117" s="26"/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1">
        <v>0</v>
      </c>
      <c r="AA117" s="22">
        <f t="shared" si="1"/>
      </c>
      <c r="AB117" s="23">
        <v>0</v>
      </c>
      <c r="AC117" s="24">
        <f>MIN(3, SUMPRODUCT((MOD('Streak'!C117:Y117,5)=0)*(MOD('Streak'!C117:Y117,10)&lt;&gt;0)*('Streak'!C117:Y117&gt;0))) * 5</f>
      </c>
      <c r="AD117" s="24">
        <f>MIN(2, SUMPRODUCT((MOD('Streak'!C117:Y117,10)=0)*('Streak'!C117:Y117&gt;0))) * 20</f>
      </c>
      <c r="AE117" s="25">
        <f t="shared" si="0"/>
      </c>
    </row>
    <row customHeight="true" ht="18" r="118">
      <c r="A118" s="17">
        <f t="shared" si="2"/>
      </c>
      <c r="B118" s="26"/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1">
        <v>0</v>
      </c>
      <c r="AA118" s="22">
        <f t="shared" si="1"/>
      </c>
      <c r="AB118" s="23">
        <v>0</v>
      </c>
      <c r="AC118" s="24">
        <f>MIN(3, SUMPRODUCT((MOD('Streak'!C118:Y118,5)=0)*(MOD('Streak'!C118:Y118,10)&lt;&gt;0)*('Streak'!C118:Y118&gt;0))) * 5</f>
      </c>
      <c r="AD118" s="24">
        <f>MIN(2, SUMPRODUCT((MOD('Streak'!C118:Y118,10)=0)*('Streak'!C118:Y118&gt;0))) * 20</f>
      </c>
      <c r="AE118" s="25">
        <f t="shared" si="0"/>
      </c>
    </row>
    <row customHeight="true" ht="18" r="119">
      <c r="A119" s="17">
        <f t="shared" si="2"/>
      </c>
      <c r="B119" s="26"/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1">
        <v>0</v>
      </c>
      <c r="AA119" s="22">
        <f t="shared" si="1"/>
      </c>
      <c r="AB119" s="23">
        <v>0</v>
      </c>
      <c r="AC119" s="24">
        <f>MIN(3, SUMPRODUCT((MOD('Streak'!C119:Y119,5)=0)*(MOD('Streak'!C119:Y119,10)&lt;&gt;0)*('Streak'!C119:Y119&gt;0))) * 5</f>
      </c>
      <c r="AD119" s="24">
        <f>MIN(2, SUMPRODUCT((MOD('Streak'!C119:Y119,10)=0)*('Streak'!C119:Y119&gt;0))) * 20</f>
      </c>
      <c r="AE119" s="25">
        <f t="shared" si="0"/>
      </c>
    </row>
    <row customHeight="true" ht="18" r="120">
      <c r="A120" s="17">
        <f t="shared" si="2"/>
      </c>
      <c r="B120" s="26"/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1">
        <v>0</v>
      </c>
      <c r="AA120" s="22">
        <f t="shared" si="1"/>
      </c>
      <c r="AB120" s="23">
        <v>0</v>
      </c>
      <c r="AC120" s="24">
        <f>MIN(3, SUMPRODUCT((MOD('Streak'!C120:Y120,5)=0)*(MOD('Streak'!C120:Y120,10)&lt;&gt;0)*('Streak'!C120:Y120&gt;0))) * 5</f>
      </c>
      <c r="AD120" s="24">
        <f>MIN(2, SUMPRODUCT((MOD('Streak'!C120:Y120,10)=0)*('Streak'!C120:Y120&gt;0))) * 20</f>
      </c>
      <c r="AE120" s="25">
        <f t="shared" si="0"/>
      </c>
    </row>
    <row customHeight="true" ht="18" r="121">
      <c r="A121" s="17">
        <f t="shared" si="2"/>
      </c>
      <c r="B121" s="26"/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1">
        <v>0</v>
      </c>
      <c r="AA121" s="22">
        <f t="shared" si="1"/>
      </c>
      <c r="AB121" s="23">
        <v>0</v>
      </c>
      <c r="AC121" s="24">
        <f>MIN(3, SUMPRODUCT((MOD('Streak'!C121:Y121,5)=0)*(MOD('Streak'!C121:Y121,10)&lt;&gt;0)*('Streak'!C121:Y121&gt;0))) * 5</f>
      </c>
      <c r="AD121" s="24">
        <f>MIN(2, SUMPRODUCT((MOD('Streak'!C121:Y121,10)=0)*('Streak'!C121:Y121&gt;0))) * 20</f>
      </c>
      <c r="AE121" s="25">
        <f t="shared" si="0"/>
      </c>
    </row>
    <row customHeight="true" ht="18" r="122">
      <c r="A122" s="17">
        <f t="shared" si="2"/>
      </c>
      <c r="B122" s="26"/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1">
        <v>0</v>
      </c>
      <c r="AA122" s="22">
        <f t="shared" si="1"/>
      </c>
      <c r="AB122" s="23">
        <v>0</v>
      </c>
      <c r="AC122" s="24">
        <f>MIN(3, SUMPRODUCT((MOD('Streak'!C122:Y122,5)=0)*(MOD('Streak'!C122:Y122,10)&lt;&gt;0)*('Streak'!C122:Y122&gt;0))) * 5</f>
      </c>
      <c r="AD122" s="24">
        <f>MIN(2, SUMPRODUCT((MOD('Streak'!C122:Y122,10)=0)*('Streak'!C122:Y122&gt;0))) * 20</f>
      </c>
      <c r="AE122" s="25">
        <f t="shared" si="0"/>
      </c>
    </row>
    <row customHeight="true" ht="18" r="123">
      <c r="A123" s="17">
        <f t="shared" si="2"/>
      </c>
      <c r="B123" s="26"/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1">
        <v>0</v>
      </c>
      <c r="AA123" s="22">
        <f t="shared" si="1"/>
      </c>
      <c r="AB123" s="23">
        <v>0</v>
      </c>
      <c r="AC123" s="24">
        <f>MIN(3, SUMPRODUCT((MOD('Streak'!C123:Y123,5)=0)*(MOD('Streak'!C123:Y123,10)&lt;&gt;0)*('Streak'!C123:Y123&gt;0))) * 5</f>
      </c>
      <c r="AD123" s="24">
        <f>MIN(2, SUMPRODUCT((MOD('Streak'!C123:Y123,10)=0)*('Streak'!C123:Y123&gt;0))) * 20</f>
      </c>
      <c r="AE123" s="25">
        <f t="shared" si="0"/>
      </c>
    </row>
    <row customHeight="true" ht="18" r="124">
      <c r="A124" s="17">
        <f t="shared" si="2"/>
      </c>
      <c r="B124" s="26"/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1">
        <v>0</v>
      </c>
      <c r="AA124" s="22">
        <f t="shared" si="1"/>
      </c>
      <c r="AB124" s="23">
        <v>0</v>
      </c>
      <c r="AC124" s="24">
        <f>MIN(3, SUMPRODUCT((MOD('Streak'!C124:Y124,5)=0)*(MOD('Streak'!C124:Y124,10)&lt;&gt;0)*('Streak'!C124:Y124&gt;0))) * 5</f>
      </c>
      <c r="AD124" s="24">
        <f>MIN(2, SUMPRODUCT((MOD('Streak'!C124:Y124,10)=0)*('Streak'!C124:Y124&gt;0))) * 20</f>
      </c>
      <c r="AE124" s="25">
        <f t="shared" si="0"/>
      </c>
    </row>
    <row customHeight="true" ht="18" r="125">
      <c r="A125" s="17">
        <f t="shared" si="2"/>
      </c>
      <c r="B125" s="26"/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1">
        <v>0</v>
      </c>
      <c r="AA125" s="22">
        <f t="shared" si="1"/>
      </c>
      <c r="AB125" s="23">
        <v>0</v>
      </c>
      <c r="AC125" s="24">
        <f>MIN(3, SUMPRODUCT((MOD('Streak'!C125:Y125,5)=0)*(MOD('Streak'!C125:Y125,10)&lt;&gt;0)*('Streak'!C125:Y125&gt;0))) * 5</f>
      </c>
      <c r="AD125" s="24">
        <f>MIN(2, SUMPRODUCT((MOD('Streak'!C125:Y125,10)=0)*('Streak'!C125:Y125&gt;0))) * 20</f>
      </c>
      <c r="AE125" s="25">
        <f t="shared" si="0"/>
      </c>
    </row>
    <row customHeight="true" ht="18" r="126">
      <c r="A126" s="17">
        <f t="shared" si="2"/>
      </c>
      <c r="B126" s="26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1">
        <v>0</v>
      </c>
      <c r="AA126" s="22">
        <f t="shared" si="1"/>
      </c>
      <c r="AB126" s="23">
        <v>0</v>
      </c>
      <c r="AC126" s="24">
        <f>MIN(3, SUMPRODUCT((MOD('Streak'!C126:Y126,5)=0)*(MOD('Streak'!C126:Y126,10)&lt;&gt;0)*('Streak'!C126:Y126&gt;0))) * 5</f>
      </c>
      <c r="AD126" s="24">
        <f>MIN(2, SUMPRODUCT((MOD('Streak'!C126:Y126,10)=0)*('Streak'!C126:Y126&gt;0))) * 20</f>
      </c>
      <c r="AE126" s="25">
        <f t="shared" si="0"/>
      </c>
    </row>
    <row customHeight="true" ht="18" r="127">
      <c r="A127" s="17">
        <f t="shared" si="2"/>
      </c>
      <c r="B127" s="26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1">
        <v>0</v>
      </c>
      <c r="AA127" s="22">
        <f t="shared" si="1"/>
      </c>
      <c r="AB127" s="23">
        <v>0</v>
      </c>
      <c r="AC127" s="24">
        <f>MIN(3, SUMPRODUCT((MOD('Streak'!C127:Y127,5)=0)*(MOD('Streak'!C127:Y127,10)&lt;&gt;0)*('Streak'!C127:Y127&gt;0))) * 5</f>
      </c>
      <c r="AD127" s="24">
        <f>MIN(2, SUMPRODUCT((MOD('Streak'!C127:Y127,10)=0)*('Streak'!C127:Y127&gt;0))) * 20</f>
      </c>
      <c r="AE127" s="25">
        <f t="shared" si="0"/>
      </c>
    </row>
    <row customHeight="true" ht="18" r="128">
      <c r="A128" s="17">
        <f t="shared" si="2"/>
      </c>
      <c r="B128" s="26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1">
        <v>0</v>
      </c>
      <c r="AA128" s="22">
        <f t="shared" si="1"/>
      </c>
      <c r="AB128" s="23">
        <v>0</v>
      </c>
      <c r="AC128" s="24">
        <f>MIN(3, SUMPRODUCT((MOD('Streak'!C128:Y128,5)=0)*(MOD('Streak'!C128:Y128,10)&lt;&gt;0)*('Streak'!C128:Y128&gt;0))) * 5</f>
      </c>
      <c r="AD128" s="24">
        <f>MIN(2, SUMPRODUCT((MOD('Streak'!C128:Y128,10)=0)*('Streak'!C128:Y128&gt;0))) * 20</f>
      </c>
      <c r="AE128" s="25">
        <f t="shared" si="0"/>
      </c>
    </row>
    <row customHeight="true" ht="18" r="129">
      <c r="A129" s="17">
        <f t="shared" si="2"/>
      </c>
      <c r="B129" s="26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1">
        <v>0</v>
      </c>
      <c r="AA129" s="22">
        <f t="shared" si="1"/>
      </c>
      <c r="AB129" s="23">
        <v>0</v>
      </c>
      <c r="AC129" s="24">
        <f>MIN(3, SUMPRODUCT((MOD('Streak'!C129:Y129,5)=0)*(MOD('Streak'!C129:Y129,10)&lt;&gt;0)*('Streak'!C129:Y129&gt;0))) * 5</f>
      </c>
      <c r="AD129" s="24">
        <f>MIN(2, SUMPRODUCT((MOD('Streak'!C129:Y129,10)=0)*('Streak'!C129:Y129&gt;0))) * 20</f>
      </c>
      <c r="AE129" s="25">
        <f t="shared" si="0"/>
      </c>
    </row>
    <row customHeight="true" ht="18" r="130">
      <c r="A130" s="17">
        <f t="shared" si="2"/>
      </c>
      <c r="B130" s="26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1">
        <v>0</v>
      </c>
      <c r="AA130" s="22">
        <f t="shared" si="1"/>
      </c>
      <c r="AB130" s="23">
        <v>0</v>
      </c>
      <c r="AC130" s="24">
        <f>MIN(3, SUMPRODUCT((MOD('Streak'!C130:Y130,5)=0)*(MOD('Streak'!C130:Y130,10)&lt;&gt;0)*('Streak'!C130:Y130&gt;0))) * 5</f>
      </c>
      <c r="AD130" s="24">
        <f>MIN(2, SUMPRODUCT((MOD('Streak'!C130:Y130,10)=0)*('Streak'!C130:Y130&gt;0))) * 20</f>
      </c>
      <c r="AE130" s="25">
        <f t="shared" si="0"/>
      </c>
    </row>
    <row customHeight="true" ht="18" r="131">
      <c r="A131" s="17">
        <f t="shared" si="2"/>
      </c>
      <c r="B131" s="26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1">
        <v>0</v>
      </c>
      <c r="AA131" s="22">
        <f t="shared" si="1"/>
      </c>
      <c r="AB131" s="23">
        <v>0</v>
      </c>
      <c r="AC131" s="24">
        <f>MIN(3, SUMPRODUCT((MOD('Streak'!C131:Y131,5)=0)*(MOD('Streak'!C131:Y131,10)&lt;&gt;0)*('Streak'!C131:Y131&gt;0))) * 5</f>
      </c>
      <c r="AD131" s="24">
        <f>MIN(2, SUMPRODUCT((MOD('Streak'!C131:Y131,10)=0)*('Streak'!C131:Y131&gt;0))) * 20</f>
      </c>
      <c r="AE131" s="25">
        <f t="shared" si="0"/>
      </c>
    </row>
    <row customHeight="true" ht="18" r="132">
      <c r="A132" s="17">
        <f t="shared" si="2"/>
      </c>
      <c r="B132" s="26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1">
        <v>0</v>
      </c>
      <c r="AA132" s="22">
        <f t="shared" si="1"/>
      </c>
      <c r="AB132" s="23">
        <v>0</v>
      </c>
      <c r="AC132" s="24">
        <f>MIN(3, SUMPRODUCT((MOD('Streak'!C132:Y132,5)=0)*(MOD('Streak'!C132:Y132,10)&lt;&gt;0)*('Streak'!C132:Y132&gt;0))) * 5</f>
      </c>
      <c r="AD132" s="24">
        <f>MIN(2, SUMPRODUCT((MOD('Streak'!C132:Y132,10)=0)*('Streak'!C132:Y132&gt;0))) * 20</f>
      </c>
      <c r="AE132" s="25">
        <f t="shared" si="0"/>
      </c>
    </row>
    <row customHeight="true" ht="18" r="133">
      <c r="A133" s="17">
        <f t="shared" si="2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1">
        <v>0</v>
      </c>
      <c r="AA133" s="22">
        <f t="shared" si="1"/>
      </c>
      <c r="AB133" s="23">
        <v>0</v>
      </c>
      <c r="AC133" s="24">
        <f>MIN(3, SUMPRODUCT((MOD('Streak'!C133:Y133,5)=0)*(MOD('Streak'!C133:Y133,10)&lt;&gt;0)*('Streak'!C133:Y133&gt;0))) * 5</f>
      </c>
      <c r="AD133" s="24">
        <f>MIN(2, SUMPRODUCT((MOD('Streak'!C133:Y133,10)=0)*('Streak'!C133:Y133&gt;0))) * 20</f>
      </c>
      <c r="AE133" s="25">
        <f t="shared" si="0"/>
      </c>
    </row>
    <row customHeight="true" ht="18" r="134">
      <c r="A134" s="17">
        <f t="shared" si="2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1">
        <v>0</v>
      </c>
      <c r="AA134" s="22">
        <f t="shared" si="1"/>
      </c>
      <c r="AB134" s="23">
        <v>0</v>
      </c>
      <c r="AC134" s="24">
        <f>MIN(3, SUMPRODUCT((MOD('Streak'!C134:Y134,5)=0)*(MOD('Streak'!C134:Y134,10)&lt;&gt;0)*('Streak'!C134:Y134&gt;0))) * 5</f>
      </c>
      <c r="AD134" s="24">
        <f>MIN(2, SUMPRODUCT((MOD('Streak'!C134:Y134,10)=0)*('Streak'!C134:Y134&gt;0))) * 20</f>
      </c>
      <c r="AE134" s="25">
        <f t="shared" si="0"/>
      </c>
    </row>
    <row customHeight="true" ht="18" r="135">
      <c r="A135" s="17">
        <f t="shared" si="2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1">
        <v>0</v>
      </c>
      <c r="AA135" s="22">
        <f t="shared" si="1"/>
      </c>
      <c r="AB135" s="23">
        <v>0</v>
      </c>
      <c r="AC135" s="24">
        <f>MIN(3, SUMPRODUCT((MOD('Streak'!C135:Y135,5)=0)*(MOD('Streak'!C135:Y135,10)&lt;&gt;0)*('Streak'!C135:Y135&gt;0))) * 5</f>
      </c>
      <c r="AD135" s="24">
        <f>MIN(2, SUMPRODUCT((MOD('Streak'!C135:Y135,10)=0)*('Streak'!C135:Y135&gt;0))) * 20</f>
      </c>
      <c r="AE135" s="25">
        <f t="shared" si="0"/>
      </c>
    </row>
    <row customHeight="true" ht="18" r="136">
      <c r="A136" s="17">
        <f t="shared" si="2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1">
        <v>0</v>
      </c>
      <c r="AA136" s="22">
        <f t="shared" si="1"/>
      </c>
      <c r="AB136" s="23">
        <v>0</v>
      </c>
      <c r="AC136" s="24">
        <f>MIN(3, SUMPRODUCT((MOD('Streak'!C136:Y136,5)=0)*(MOD('Streak'!C136:Y136,10)&lt;&gt;0)*('Streak'!C136:Y136&gt;0))) * 5</f>
      </c>
      <c r="AD136" s="24">
        <f>MIN(2, SUMPRODUCT((MOD('Streak'!C136:Y136,10)=0)*('Streak'!C136:Y136&gt;0))) * 20</f>
      </c>
      <c r="AE136" s="25">
        <f t="shared" si="0"/>
      </c>
    </row>
    <row customHeight="true" ht="18" r="137">
      <c r="A137" s="17">
        <f t="shared" si="2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1">
        <v>0</v>
      </c>
      <c r="AA137" s="22">
        <f t="shared" si="1"/>
      </c>
      <c r="AB137" s="23">
        <v>0</v>
      </c>
      <c r="AC137" s="24">
        <f>MIN(3, SUMPRODUCT((MOD('Streak'!C137:Y137,5)=0)*(MOD('Streak'!C137:Y137,10)&lt;&gt;0)*('Streak'!C137:Y137&gt;0))) * 5</f>
      </c>
      <c r="AD137" s="24">
        <f>MIN(2, SUMPRODUCT((MOD('Streak'!C137:Y137,10)=0)*('Streak'!C137:Y137&gt;0))) * 20</f>
      </c>
      <c r="AE137" s="25">
        <f t="shared" si="0"/>
      </c>
    </row>
    <row customHeight="true" ht="18" r="138">
      <c r="A138" s="17">
        <f t="shared" si="2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1">
        <v>0</v>
      </c>
      <c r="AA138" s="22">
        <f t="shared" si="1"/>
      </c>
      <c r="AB138" s="23">
        <v>0</v>
      </c>
      <c r="AC138" s="24">
        <f>MIN(3, SUMPRODUCT((MOD('Streak'!C138:Y138,5)=0)*(MOD('Streak'!C138:Y138,10)&lt;&gt;0)*('Streak'!C138:Y138&gt;0))) * 5</f>
      </c>
      <c r="AD138" s="24">
        <f>MIN(2, SUMPRODUCT((MOD('Streak'!C138:Y138,10)=0)*('Streak'!C138:Y138&gt;0))) * 20</f>
      </c>
      <c r="AE138" s="25">
        <f t="shared" si="0"/>
      </c>
    </row>
    <row customHeight="true" ht="18" r="139">
      <c r="A139" s="17">
        <f t="shared" si="2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1">
        <v>0</v>
      </c>
      <c r="AA139" s="22">
        <f t="shared" si="1"/>
      </c>
      <c r="AB139" s="23">
        <v>0</v>
      </c>
      <c r="AC139" s="24">
        <f>MIN(3, SUMPRODUCT((MOD('Streak'!C139:Y139,5)=0)*(MOD('Streak'!C139:Y139,10)&lt;&gt;0)*('Streak'!C139:Y139&gt;0))) * 5</f>
      </c>
      <c r="AD139" s="24">
        <f>MIN(2, SUMPRODUCT((MOD('Streak'!C139:Y139,10)=0)*('Streak'!C139:Y139&gt;0))) * 20</f>
      </c>
      <c r="AE139" s="25">
        <f t="shared" si="0"/>
      </c>
    </row>
    <row customHeight="true" ht="18" r="140">
      <c r="A140" s="17">
        <f t="shared" si="2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1">
        <v>0</v>
      </c>
      <c r="AA140" s="22">
        <f t="shared" si="1"/>
      </c>
      <c r="AB140" s="23">
        <v>0</v>
      </c>
      <c r="AC140" s="24">
        <f>MIN(3, SUMPRODUCT((MOD('Streak'!C140:Y140,5)=0)*(MOD('Streak'!C140:Y140,10)&lt;&gt;0)*('Streak'!C140:Y140&gt;0))) * 5</f>
      </c>
      <c r="AD140" s="24">
        <f>MIN(2, SUMPRODUCT((MOD('Streak'!C140:Y140,10)=0)*('Streak'!C140:Y140&gt;0))) * 20</f>
      </c>
      <c r="AE140" s="25">
        <f t="shared" si="0"/>
      </c>
    </row>
    <row customHeight="true" ht="18" r="141">
      <c r="A141" s="17">
        <f t="shared" si="2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1">
        <v>0</v>
      </c>
      <c r="AA141" s="22">
        <f t="shared" si="1"/>
      </c>
      <c r="AB141" s="23">
        <v>0</v>
      </c>
      <c r="AC141" s="24">
        <f>MIN(3, SUMPRODUCT((MOD('Streak'!C141:Y141,5)=0)*(MOD('Streak'!C141:Y141,10)&lt;&gt;0)*('Streak'!C141:Y141&gt;0))) * 5</f>
      </c>
      <c r="AD141" s="24">
        <f>MIN(2, SUMPRODUCT((MOD('Streak'!C141:Y141,10)=0)*('Streak'!C141:Y141&gt;0))) * 20</f>
      </c>
      <c r="AE141" s="25">
        <f t="shared" si="0"/>
      </c>
    </row>
    <row customHeight="true" ht="18" r="142">
      <c r="A142" s="17">
        <f t="shared" si="2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1">
        <v>0</v>
      </c>
      <c r="AA142" s="22">
        <f t="shared" si="1"/>
      </c>
      <c r="AB142" s="23">
        <v>0</v>
      </c>
      <c r="AC142" s="24">
        <f>MIN(3, SUMPRODUCT((MOD('Streak'!C142:Y142,5)=0)*(MOD('Streak'!C142:Y142,10)&lt;&gt;0)*('Streak'!C142:Y142&gt;0))) * 5</f>
      </c>
      <c r="AD142" s="24">
        <f>MIN(2, SUMPRODUCT((MOD('Streak'!C142:Y142,10)=0)*('Streak'!C142:Y142&gt;0))) * 20</f>
      </c>
      <c r="AE142" s="25">
        <f t="shared" si="0"/>
      </c>
    </row>
    <row customHeight="true" ht="18" r="143">
      <c r="A143" s="17">
        <f t="shared" si="2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1">
        <v>0</v>
      </c>
      <c r="AA143" s="22">
        <f t="shared" si="1"/>
      </c>
      <c r="AB143" s="23">
        <v>0</v>
      </c>
      <c r="AC143" s="24">
        <f>MIN(3, SUMPRODUCT((MOD('Streak'!C143:Y143,5)=0)*(MOD('Streak'!C143:Y143,10)&lt;&gt;0)*('Streak'!C143:Y143&gt;0))) * 5</f>
      </c>
      <c r="AD143" s="24">
        <f>MIN(2, SUMPRODUCT((MOD('Streak'!C143:Y143,10)=0)*('Streak'!C143:Y143&gt;0))) * 20</f>
      </c>
      <c r="AE143" s="25">
        <f t="shared" si="0"/>
      </c>
    </row>
    <row customHeight="true" ht="18" r="144">
      <c r="A144" s="17">
        <f t="shared" si="2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1">
        <v>0</v>
      </c>
      <c r="AA144" s="22">
        <f t="shared" si="1"/>
      </c>
      <c r="AB144" s="23">
        <v>0</v>
      </c>
      <c r="AC144" s="24">
        <f>MIN(3, SUMPRODUCT((MOD('Streak'!C144:Y144,5)=0)*(MOD('Streak'!C144:Y144,10)&lt;&gt;0)*('Streak'!C144:Y144&gt;0))) * 5</f>
      </c>
      <c r="AD144" s="24">
        <f>MIN(2, SUMPRODUCT((MOD('Streak'!C144:Y144,10)=0)*('Streak'!C144:Y144&gt;0))) * 20</f>
      </c>
      <c r="AE144" s="25">
        <f t="shared" si="0"/>
      </c>
    </row>
    <row customHeight="true" ht="18" r="145">
      <c r="A145" s="17">
        <f t="shared" si="2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1">
        <v>0</v>
      </c>
      <c r="AA145" s="22">
        <f t="shared" si="1"/>
      </c>
      <c r="AB145" s="23">
        <v>0</v>
      </c>
      <c r="AC145" s="24">
        <f>MIN(3, SUMPRODUCT((MOD('Streak'!C145:Y145,5)=0)*(MOD('Streak'!C145:Y145,10)&lt;&gt;0)*('Streak'!C145:Y145&gt;0))) * 5</f>
      </c>
      <c r="AD145" s="24">
        <f>MIN(2, SUMPRODUCT((MOD('Streak'!C145:Y145,10)=0)*('Streak'!C145:Y145&gt;0))) * 20</f>
      </c>
      <c r="AE145" s="25">
        <f t="shared" si="0"/>
      </c>
    </row>
    <row customHeight="true" ht="18" r="146">
      <c r="A146" s="17">
        <f t="shared" si="2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1">
        <v>0</v>
      </c>
      <c r="AA146" s="22">
        <f t="shared" si="1"/>
      </c>
      <c r="AB146" s="23">
        <v>0</v>
      </c>
      <c r="AC146" s="24">
        <f>MIN(3, SUMPRODUCT((MOD('Streak'!C146:Y146,5)=0)*(MOD('Streak'!C146:Y146,10)&lt;&gt;0)*('Streak'!C146:Y146&gt;0))) * 5</f>
      </c>
      <c r="AD146" s="24">
        <f>MIN(2, SUMPRODUCT((MOD('Streak'!C146:Y146,10)=0)*('Streak'!C146:Y146&gt;0))) * 20</f>
      </c>
      <c r="AE146" s="25">
        <f t="shared" si="0"/>
      </c>
    </row>
    <row customHeight="true" ht="18" r="147">
      <c r="A147" s="17">
        <f t="shared" si="2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1">
        <v>0</v>
      </c>
      <c r="AA147" s="22">
        <f t="shared" si="1"/>
      </c>
      <c r="AB147" s="23">
        <v>0</v>
      </c>
      <c r="AC147" s="24">
        <f>MIN(3, SUMPRODUCT((MOD('Streak'!C147:Y147,5)=0)*(MOD('Streak'!C147:Y147,10)&lt;&gt;0)*('Streak'!C147:Y147&gt;0))) * 5</f>
      </c>
      <c r="AD147" s="24">
        <f>MIN(2, SUMPRODUCT((MOD('Streak'!C147:Y147,10)=0)*('Streak'!C147:Y147&gt;0))) * 20</f>
      </c>
      <c r="AE147" s="25">
        <f t="shared" si="0"/>
      </c>
    </row>
    <row customHeight="true" ht="18" r="148">
      <c r="A148" s="17">
        <f t="shared" si="2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1">
        <v>0</v>
      </c>
      <c r="AA148" s="22">
        <f t="shared" si="1"/>
      </c>
      <c r="AB148" s="23">
        <v>0</v>
      </c>
      <c r="AC148" s="24">
        <f>MIN(3, SUMPRODUCT((MOD('Streak'!C148:Y148,5)=0)*(MOD('Streak'!C148:Y148,10)&lt;&gt;0)*('Streak'!C148:Y148&gt;0))) * 5</f>
      </c>
      <c r="AD148" s="24">
        <f>MIN(2, SUMPRODUCT((MOD('Streak'!C148:Y148,10)=0)*('Streak'!C148:Y148&gt;0))) * 20</f>
      </c>
      <c r="AE148" s="25">
        <f t="shared" si="0"/>
      </c>
    </row>
    <row customHeight="true" ht="18" r="149">
      <c r="A149" s="17">
        <f t="shared" si="2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1">
        <v>0</v>
      </c>
      <c r="AA149" s="22">
        <f t="shared" si="1"/>
      </c>
      <c r="AB149" s="23">
        <v>0</v>
      </c>
      <c r="AC149" s="24">
        <f>MIN(3, SUMPRODUCT((MOD('Streak'!C149:Y149,5)=0)*(MOD('Streak'!C149:Y149,10)&lt;&gt;0)*('Streak'!C149:Y149&gt;0))) * 5</f>
      </c>
      <c r="AD149" s="24">
        <f>MIN(2, SUMPRODUCT((MOD('Streak'!C149:Y149,10)=0)*('Streak'!C149:Y149&gt;0))) * 20</f>
      </c>
      <c r="AE149" s="25">
        <f t="shared" si="0"/>
      </c>
    </row>
    <row customHeight="true" ht="18" r="150">
      <c r="A150" s="17">
        <f t="shared" si="2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1">
        <v>0</v>
      </c>
      <c r="AA150" s="22">
        <f t="shared" si="1"/>
      </c>
      <c r="AB150" s="23">
        <v>0</v>
      </c>
      <c r="AC150" s="24">
        <f>MIN(3, SUMPRODUCT((MOD('Streak'!C150:Y150,5)=0)*(MOD('Streak'!C150:Y150,10)&lt;&gt;0)*('Streak'!C150:Y150&gt;0))) * 5</f>
      </c>
      <c r="AD150" s="24">
        <f>MIN(2, SUMPRODUCT((MOD('Streak'!C150:Y150,10)=0)*('Streak'!C150:Y150&gt;0))) * 20</f>
      </c>
      <c r="AE150" s="25">
        <f t="shared" si="0"/>
      </c>
    </row>
    <row customHeight="true" ht="18" r="151">
      <c r="A151" s="17">
        <f t="shared" si="2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1">
        <v>0</v>
      </c>
      <c r="AA151" s="22">
        <f t="shared" si="1"/>
      </c>
      <c r="AB151" s="23">
        <v>0</v>
      </c>
      <c r="AC151" s="24">
        <f>MIN(3, SUMPRODUCT((MOD('Streak'!C151:Y151,5)=0)*(MOD('Streak'!C151:Y151,10)&lt;&gt;0)*('Streak'!C151:Y151&gt;0))) * 5</f>
      </c>
      <c r="AD151" s="24">
        <f>MIN(2, SUMPRODUCT((MOD('Streak'!C151:Y151,10)=0)*('Streak'!C151:Y151&gt;0))) * 20</f>
      </c>
      <c r="AE151" s="25">
        <f t="shared" si="0"/>
      </c>
    </row>
    <row customHeight="true" ht="18" r="152">
      <c r="A152" s="17">
        <f t="shared" si="2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1">
        <v>0</v>
      </c>
      <c r="AA152" s="22">
        <f t="shared" si="1"/>
      </c>
      <c r="AB152" s="23">
        <v>0</v>
      </c>
      <c r="AC152" s="24">
        <f>MIN(3, SUMPRODUCT((MOD('Streak'!C152:Y152,5)=0)*(MOD('Streak'!C152:Y152,10)&lt;&gt;0)*('Streak'!C152:Y152&gt;0))) * 5</f>
      </c>
      <c r="AD152" s="24">
        <f>MIN(2, SUMPRODUCT((MOD('Streak'!C152:Y152,10)=0)*('Streak'!C152:Y152&gt;0))) * 20</f>
      </c>
      <c r="AE152" s="25">
        <f t="shared" si="0"/>
      </c>
    </row>
    <row customHeight="true" ht="18" r="153">
      <c r="A153" s="17">
        <f t="shared" si="2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1">
        <v>0</v>
      </c>
      <c r="AA153" s="22">
        <f t="shared" si="1"/>
      </c>
      <c r="AB153" s="23">
        <v>0</v>
      </c>
      <c r="AC153" s="24">
        <f>MIN(3, SUMPRODUCT((MOD('Streak'!C153:Y153,5)=0)*(MOD('Streak'!C153:Y153,10)&lt;&gt;0)*('Streak'!C153:Y153&gt;0))) * 5</f>
      </c>
      <c r="AD153" s="24">
        <f>MIN(2, SUMPRODUCT((MOD('Streak'!C153:Y153,10)=0)*('Streak'!C153:Y153&gt;0))) * 20</f>
      </c>
      <c r="AE153" s="25">
        <f t="shared" si="0"/>
      </c>
    </row>
    <row customHeight="true" ht="18" r="154">
      <c r="A154" s="17">
        <f t="shared" si="2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1">
        <v>0</v>
      </c>
      <c r="AA154" s="22">
        <f t="shared" si="1"/>
      </c>
      <c r="AB154" s="23">
        <v>0</v>
      </c>
      <c r="AC154" s="24">
        <f>MIN(3, SUMPRODUCT((MOD('Streak'!C154:Y154,5)=0)*(MOD('Streak'!C154:Y154,10)&lt;&gt;0)*('Streak'!C154:Y154&gt;0))) * 5</f>
      </c>
      <c r="AD154" s="24">
        <f>MIN(2, SUMPRODUCT((MOD('Streak'!C154:Y154,10)=0)*('Streak'!C154:Y154&gt;0))) * 20</f>
      </c>
      <c r="AE154" s="25">
        <f t="shared" si="0"/>
      </c>
    </row>
    <row customHeight="true" ht="18" r="155">
      <c r="A155" s="17">
        <f t="shared" si="2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1">
        <v>0</v>
      </c>
      <c r="AA155" s="22">
        <f t="shared" si="1"/>
      </c>
      <c r="AB155" s="23">
        <v>0</v>
      </c>
      <c r="AC155" s="24">
        <f>MIN(3, SUMPRODUCT((MOD('Streak'!C155:Y155,5)=0)*(MOD('Streak'!C155:Y155,10)&lt;&gt;0)*('Streak'!C155:Y155&gt;0))) * 5</f>
      </c>
      <c r="AD155" s="24">
        <f>MIN(2, SUMPRODUCT((MOD('Streak'!C155:Y155,10)=0)*('Streak'!C155:Y155&gt;0))) * 20</f>
      </c>
      <c r="AE155" s="25">
        <f t="shared" si="0"/>
      </c>
    </row>
    <row customHeight="true" ht="18" r="156">
      <c r="A156" s="17">
        <f t="shared" si="2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1">
        <v>0</v>
      </c>
      <c r="AA156" s="22">
        <f t="shared" si="1"/>
      </c>
      <c r="AB156" s="23">
        <v>0</v>
      </c>
      <c r="AC156" s="24">
        <f>MIN(3, SUMPRODUCT((MOD('Streak'!C156:Y156,5)=0)*(MOD('Streak'!C156:Y156,10)&lt;&gt;0)*('Streak'!C156:Y156&gt;0))) * 5</f>
      </c>
      <c r="AD156" s="24">
        <f>MIN(2, SUMPRODUCT((MOD('Streak'!C156:Y156,10)=0)*('Streak'!C156:Y156&gt;0))) * 20</f>
      </c>
      <c r="AE156" s="25">
        <f t="shared" si="0"/>
      </c>
    </row>
    <row customHeight="true" ht="18" r="157">
      <c r="A157" s="17">
        <f t="shared" si="2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1">
        <v>0</v>
      </c>
      <c r="AA157" s="22">
        <f t="shared" si="1"/>
      </c>
      <c r="AB157" s="23">
        <v>0</v>
      </c>
      <c r="AC157" s="24">
        <f>MIN(3, SUMPRODUCT((MOD('Streak'!C157:Y157,5)=0)*(MOD('Streak'!C157:Y157,10)&lt;&gt;0)*('Streak'!C157:Y157&gt;0))) * 5</f>
      </c>
      <c r="AD157" s="24">
        <f>MIN(2, SUMPRODUCT((MOD('Streak'!C157:Y157,10)=0)*('Streak'!C157:Y157&gt;0))) * 20</f>
      </c>
      <c r="AE157" s="25">
        <f t="shared" si="0"/>
      </c>
    </row>
    <row customHeight="true" ht="18" r="158">
      <c r="A158" s="17">
        <f t="shared" si="2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1">
        <v>0</v>
      </c>
      <c r="AA158" s="22">
        <f t="shared" si="1"/>
      </c>
      <c r="AB158" s="23">
        <v>0</v>
      </c>
      <c r="AC158" s="24">
        <f>MIN(3, SUMPRODUCT((MOD('Streak'!C158:Y158,5)=0)*(MOD('Streak'!C158:Y158,10)&lt;&gt;0)*('Streak'!C158:Y158&gt;0))) * 5</f>
      </c>
      <c r="AD158" s="24">
        <f>MIN(2, SUMPRODUCT((MOD('Streak'!C158:Y158,10)=0)*('Streak'!C158:Y158&gt;0))) * 20</f>
      </c>
      <c r="AE158" s="25">
        <f t="shared" si="0"/>
      </c>
    </row>
    <row customHeight="true" ht="18" r="159">
      <c r="A159" s="17">
        <f t="shared" si="2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1">
        <v>0</v>
      </c>
      <c r="AA159" s="22">
        <f t="shared" si="1"/>
      </c>
      <c r="AB159" s="23">
        <v>0</v>
      </c>
      <c r="AC159" s="24">
        <f>MIN(3, SUMPRODUCT((MOD('Streak'!C159:Y159,5)=0)*(MOD('Streak'!C159:Y159,10)&lt;&gt;0)*('Streak'!C159:Y159&gt;0))) * 5</f>
      </c>
      <c r="AD159" s="24">
        <f>MIN(2, SUMPRODUCT((MOD('Streak'!C159:Y159,10)=0)*('Streak'!C159:Y159&gt;0))) * 20</f>
      </c>
      <c r="AE159" s="25">
        <f t="shared" si="0"/>
      </c>
    </row>
    <row customHeight="true" ht="18" r="160">
      <c r="A160" s="17">
        <f t="shared" si="2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1">
        <v>0</v>
      </c>
      <c r="AA160" s="22">
        <f t="shared" si="1"/>
      </c>
      <c r="AB160" s="23">
        <v>0</v>
      </c>
      <c r="AC160" s="24">
        <f>MIN(3, SUMPRODUCT((MOD('Streak'!C160:Y160,5)=0)*(MOD('Streak'!C160:Y160,10)&lt;&gt;0)*('Streak'!C160:Y160&gt;0))) * 5</f>
      </c>
      <c r="AD160" s="24">
        <f>MIN(2, SUMPRODUCT((MOD('Streak'!C160:Y160,10)=0)*('Streak'!C160:Y160&gt;0))) * 20</f>
      </c>
      <c r="AE160" s="25">
        <f t="shared" si="0"/>
      </c>
    </row>
    <row customHeight="true" ht="18" r="161">
      <c r="A161" s="17">
        <f t="shared" si="2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1">
        <v>0</v>
      </c>
      <c r="AA161" s="22">
        <f t="shared" si="1"/>
      </c>
      <c r="AB161" s="23">
        <v>0</v>
      </c>
      <c r="AC161" s="24">
        <f>MIN(3, SUMPRODUCT((MOD('Streak'!C161:Y161,5)=0)*(MOD('Streak'!C161:Y161,10)&lt;&gt;0)*('Streak'!C161:Y161&gt;0))) * 5</f>
      </c>
      <c r="AD161" s="24">
        <f>MIN(2, SUMPRODUCT((MOD('Streak'!C161:Y161,10)=0)*('Streak'!C161:Y161&gt;0))) * 20</f>
      </c>
      <c r="AE161" s="25">
        <f t="shared" si="0"/>
      </c>
    </row>
    <row customHeight="true" ht="18" r="162">
      <c r="A162" s="17">
        <f t="shared" si="2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1">
        <v>0</v>
      </c>
      <c r="AA162" s="22">
        <f t="shared" si="1"/>
      </c>
      <c r="AB162" s="23">
        <v>0</v>
      </c>
      <c r="AC162" s="24">
        <f>MIN(3, SUMPRODUCT((MOD('Streak'!C162:Y162,5)=0)*(MOD('Streak'!C162:Y162,10)&lt;&gt;0)*('Streak'!C162:Y162&gt;0))) * 5</f>
      </c>
      <c r="AD162" s="24">
        <f>MIN(2, SUMPRODUCT((MOD('Streak'!C162:Y162,10)=0)*('Streak'!C162:Y162&gt;0))) * 20</f>
      </c>
      <c r="AE162" s="25">
        <f t="shared" si="0"/>
      </c>
    </row>
    <row customHeight="true" ht="18" r="163">
      <c r="A163" s="17">
        <f t="shared" si="2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1">
        <v>0</v>
      </c>
      <c r="AA163" s="22">
        <f t="shared" si="1"/>
      </c>
      <c r="AB163" s="23">
        <v>0</v>
      </c>
      <c r="AC163" s="24">
        <f>MIN(3, SUMPRODUCT((MOD('Streak'!C163:Y163,5)=0)*(MOD('Streak'!C163:Y163,10)&lt;&gt;0)*('Streak'!C163:Y163&gt;0))) * 5</f>
      </c>
      <c r="AD163" s="24">
        <f>MIN(2, SUMPRODUCT((MOD('Streak'!C163:Y163,10)=0)*('Streak'!C163:Y163&gt;0))) * 20</f>
      </c>
      <c r="AE163" s="25">
        <f t="shared" si="0"/>
      </c>
    </row>
    <row customHeight="true" ht="18" r="164">
      <c r="A164" s="17">
        <f t="shared" si="2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1">
        <v>0</v>
      </c>
      <c r="AA164" s="22">
        <f t="shared" si="1"/>
      </c>
      <c r="AB164" s="23">
        <v>0</v>
      </c>
      <c r="AC164" s="24">
        <f>MIN(3, SUMPRODUCT((MOD('Streak'!C164:Y164,5)=0)*(MOD('Streak'!C164:Y164,10)&lt;&gt;0)*('Streak'!C164:Y164&gt;0))) * 5</f>
      </c>
      <c r="AD164" s="24">
        <f>MIN(2, SUMPRODUCT((MOD('Streak'!C164:Y164,10)=0)*('Streak'!C164:Y164&gt;0))) * 20</f>
      </c>
      <c r="AE164" s="25">
        <f t="shared" si="0"/>
      </c>
    </row>
    <row customHeight="true" ht="18" r="165">
      <c r="A165" s="17">
        <f t="shared" si="2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1">
        <v>0</v>
      </c>
      <c r="AA165" s="22">
        <f t="shared" si="1"/>
      </c>
      <c r="AB165" s="23">
        <v>0</v>
      </c>
      <c r="AC165" s="24">
        <f>MIN(3, SUMPRODUCT((MOD('Streak'!C165:Y165,5)=0)*(MOD('Streak'!C165:Y165,10)&lt;&gt;0)*('Streak'!C165:Y165&gt;0))) * 5</f>
      </c>
      <c r="AD165" s="24">
        <f>MIN(2, SUMPRODUCT((MOD('Streak'!C165:Y165,10)=0)*('Streak'!C165:Y165&gt;0))) * 20</f>
      </c>
      <c r="AE165" s="25">
        <f t="shared" si="0"/>
      </c>
    </row>
    <row customHeight="true" ht="18" r="166">
      <c r="A166" s="17">
        <f t="shared" si="2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1">
        <v>0</v>
      </c>
      <c r="AA166" s="22">
        <f t="shared" si="1"/>
      </c>
      <c r="AB166" s="23">
        <v>0</v>
      </c>
      <c r="AC166" s="24">
        <f>MIN(3, SUMPRODUCT((MOD('Streak'!C166:Y166,5)=0)*(MOD('Streak'!C166:Y166,10)&lt;&gt;0)*('Streak'!C166:Y166&gt;0))) * 5</f>
      </c>
      <c r="AD166" s="24">
        <f>MIN(2, SUMPRODUCT((MOD('Streak'!C166:Y166,10)=0)*('Streak'!C166:Y166&gt;0))) * 20</f>
      </c>
      <c r="AE166" s="25">
        <f t="shared" si="0"/>
      </c>
    </row>
    <row customHeight="true" ht="18" r="167">
      <c r="A167" s="17">
        <f t="shared" si="2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1">
        <v>0</v>
      </c>
      <c r="AA167" s="22">
        <f t="shared" si="1"/>
      </c>
      <c r="AB167" s="23">
        <v>0</v>
      </c>
      <c r="AC167" s="24">
        <f>MIN(3, SUMPRODUCT((MOD('Streak'!C167:Y167,5)=0)*(MOD('Streak'!C167:Y167,10)&lt;&gt;0)*('Streak'!C167:Y167&gt;0))) * 5</f>
      </c>
      <c r="AD167" s="24">
        <f>MIN(2, SUMPRODUCT((MOD('Streak'!C167:Y167,10)=0)*('Streak'!C167:Y167&gt;0))) * 20</f>
      </c>
      <c r="AE167" s="25">
        <f t="shared" si="0"/>
      </c>
    </row>
    <row customHeight="true" ht="18" r="168">
      <c r="A168" s="17">
        <f t="shared" si="2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1">
        <v>0</v>
      </c>
      <c r="AA168" s="22">
        <f t="shared" si="1"/>
      </c>
      <c r="AB168" s="23">
        <v>0</v>
      </c>
      <c r="AC168" s="24">
        <f>MIN(3, SUMPRODUCT((MOD('Streak'!C168:Y168,5)=0)*(MOD('Streak'!C168:Y168,10)&lt;&gt;0)*('Streak'!C168:Y168&gt;0))) * 5</f>
      </c>
      <c r="AD168" s="24">
        <f>MIN(2, SUMPRODUCT((MOD('Streak'!C168:Y168,10)=0)*('Streak'!C168:Y168&gt;0))) * 20</f>
      </c>
      <c r="AE168" s="25">
        <f t="shared" si="0"/>
      </c>
    </row>
    <row customHeight="true" ht="18" r="169">
      <c r="A169" s="17">
        <f t="shared" si="2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1">
        <v>0</v>
      </c>
      <c r="AA169" s="22">
        <f t="shared" si="1"/>
      </c>
      <c r="AB169" s="23">
        <v>0</v>
      </c>
      <c r="AC169" s="24">
        <f>MIN(3, SUMPRODUCT((MOD('Streak'!C169:Y169,5)=0)*(MOD('Streak'!C169:Y169,10)&lt;&gt;0)*('Streak'!C169:Y169&gt;0))) * 5</f>
      </c>
      <c r="AD169" s="24">
        <f>MIN(2, SUMPRODUCT((MOD('Streak'!C169:Y169,10)=0)*('Streak'!C169:Y169&gt;0))) * 20</f>
      </c>
      <c r="AE169" s="25">
        <f t="shared" si="0"/>
      </c>
    </row>
    <row customHeight="true" ht="18" r="170">
      <c r="A170" s="17">
        <f t="shared" si="2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1">
        <v>0</v>
      </c>
      <c r="AA170" s="22">
        <f t="shared" si="1"/>
      </c>
      <c r="AB170" s="23">
        <v>0</v>
      </c>
      <c r="AC170" s="24">
        <f>MIN(3, SUMPRODUCT((MOD('Streak'!C170:Y170,5)=0)*(MOD('Streak'!C170:Y170,10)&lt;&gt;0)*('Streak'!C170:Y170&gt;0))) * 5</f>
      </c>
      <c r="AD170" s="24">
        <f>MIN(2, SUMPRODUCT((MOD('Streak'!C170:Y170,10)=0)*('Streak'!C170:Y170&gt;0))) * 20</f>
      </c>
      <c r="AE170" s="25">
        <f t="shared" si="0"/>
      </c>
    </row>
    <row customHeight="true" ht="18" r="171">
      <c r="A171" s="17">
        <f t="shared" si="2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1">
        <v>0</v>
      </c>
      <c r="AA171" s="22">
        <f t="shared" si="1"/>
      </c>
      <c r="AB171" s="23">
        <v>0</v>
      </c>
      <c r="AC171" s="24">
        <f>MIN(3, SUMPRODUCT((MOD('Streak'!C171:Y171,5)=0)*(MOD('Streak'!C171:Y171,10)&lt;&gt;0)*('Streak'!C171:Y171&gt;0))) * 5</f>
      </c>
      <c r="AD171" s="24">
        <f>MIN(2, SUMPRODUCT((MOD('Streak'!C171:Y171,10)=0)*('Streak'!C171:Y171&gt;0))) * 20</f>
      </c>
      <c r="AE171" s="25">
        <f t="shared" si="0"/>
      </c>
    </row>
    <row customHeight="true" ht="18" r="172">
      <c r="A172" s="17">
        <f t="shared" si="2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1">
        <v>0</v>
      </c>
      <c r="AA172" s="22">
        <f t="shared" si="1"/>
      </c>
      <c r="AB172" s="23">
        <v>0</v>
      </c>
      <c r="AC172" s="24">
        <f>MIN(3, SUMPRODUCT((MOD('Streak'!C172:Y172,5)=0)*(MOD('Streak'!C172:Y172,10)&lt;&gt;0)*('Streak'!C172:Y172&gt;0))) * 5</f>
      </c>
      <c r="AD172" s="24">
        <f>MIN(2, SUMPRODUCT((MOD('Streak'!C172:Y172,10)=0)*('Streak'!C172:Y172&gt;0))) * 20</f>
      </c>
      <c r="AE172" s="25">
        <f t="shared" si="0"/>
      </c>
    </row>
    <row customHeight="true" ht="18" r="173">
      <c r="A173" s="17">
        <f t="shared" si="2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1">
        <v>0</v>
      </c>
      <c r="AA173" s="22">
        <f t="shared" si="1"/>
      </c>
      <c r="AB173" s="23">
        <v>0</v>
      </c>
      <c r="AC173" s="24">
        <f>MIN(3, SUMPRODUCT((MOD('Streak'!C173:Y173,5)=0)*(MOD('Streak'!C173:Y173,10)&lt;&gt;0)*('Streak'!C173:Y173&gt;0))) * 5</f>
      </c>
      <c r="AD173" s="24">
        <f>MIN(2, SUMPRODUCT((MOD('Streak'!C173:Y173,10)=0)*('Streak'!C173:Y173&gt;0))) * 20</f>
      </c>
      <c r="AE173" s="25">
        <f t="shared" si="0"/>
      </c>
    </row>
    <row customHeight="true" ht="18" r="174">
      <c r="A174" s="17">
        <f t="shared" si="2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1">
        <v>0</v>
      </c>
      <c r="AA174" s="22">
        <f t="shared" si="1"/>
      </c>
      <c r="AB174" s="23">
        <v>0</v>
      </c>
      <c r="AC174" s="24">
        <f>MIN(3, SUMPRODUCT((MOD('Streak'!C174:Y174,5)=0)*(MOD('Streak'!C174:Y174,10)&lt;&gt;0)*('Streak'!C174:Y174&gt;0))) * 5</f>
      </c>
      <c r="AD174" s="24">
        <f>MIN(2, SUMPRODUCT((MOD('Streak'!C174:Y174,10)=0)*('Streak'!C174:Y174&gt;0))) * 20</f>
      </c>
      <c r="AE174" s="25">
        <f t="shared" si="0"/>
      </c>
    </row>
    <row customHeight="true" ht="18" r="175">
      <c r="A175" s="17">
        <f t="shared" si="2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1">
        <v>0</v>
      </c>
      <c r="AA175" s="22">
        <f t="shared" si="1"/>
      </c>
      <c r="AB175" s="23">
        <v>0</v>
      </c>
      <c r="AC175" s="24">
        <f>MIN(3, SUMPRODUCT((MOD('Streak'!C175:Y175,5)=0)*(MOD('Streak'!C175:Y175,10)&lt;&gt;0)*('Streak'!C175:Y175&gt;0))) * 5</f>
      </c>
      <c r="AD175" s="24">
        <f>MIN(2, SUMPRODUCT((MOD('Streak'!C175:Y175,10)=0)*('Streak'!C175:Y175&gt;0))) * 20</f>
      </c>
      <c r="AE175" s="25">
        <f t="shared" si="0"/>
      </c>
    </row>
    <row customHeight="true" ht="18" r="176">
      <c r="A176" s="17">
        <f t="shared" si="2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1">
        <v>0</v>
      </c>
      <c r="AA176" s="22">
        <f t="shared" si="1"/>
      </c>
      <c r="AB176" s="23">
        <v>0</v>
      </c>
      <c r="AC176" s="24">
        <f>MIN(3, SUMPRODUCT((MOD('Streak'!C176:Y176,5)=0)*(MOD('Streak'!C176:Y176,10)&lt;&gt;0)*('Streak'!C176:Y176&gt;0))) * 5</f>
      </c>
      <c r="AD176" s="24">
        <f>MIN(2, SUMPRODUCT((MOD('Streak'!C176:Y176,10)=0)*('Streak'!C176:Y176&gt;0))) * 20</f>
      </c>
      <c r="AE176" s="25">
        <f t="shared" si="0"/>
      </c>
    </row>
    <row customHeight="true" ht="18" r="177">
      <c r="A177" s="17">
        <f t="shared" si="2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1">
        <v>0</v>
      </c>
      <c r="AA177" s="22">
        <f t="shared" si="1"/>
      </c>
      <c r="AB177" s="23">
        <v>0</v>
      </c>
      <c r="AC177" s="24">
        <f>MIN(3, SUMPRODUCT((MOD('Streak'!C177:Y177,5)=0)*(MOD('Streak'!C177:Y177,10)&lt;&gt;0)*('Streak'!C177:Y177&gt;0))) * 5</f>
      </c>
      <c r="AD177" s="24">
        <f>MIN(2, SUMPRODUCT((MOD('Streak'!C177:Y177,10)=0)*('Streak'!C177:Y177&gt;0))) * 20</f>
      </c>
      <c r="AE177" s="25">
        <f t="shared" si="0"/>
      </c>
    </row>
    <row customHeight="true" ht="18" r="178">
      <c r="A178" s="17">
        <f t="shared" si="2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1">
        <v>0</v>
      </c>
      <c r="AA178" s="22">
        <f t="shared" si="1"/>
      </c>
      <c r="AB178" s="23">
        <v>0</v>
      </c>
      <c r="AC178" s="24">
        <f>MIN(3, SUMPRODUCT((MOD('Streak'!C178:Y178,5)=0)*(MOD('Streak'!C178:Y178,10)&lt;&gt;0)*('Streak'!C178:Y178&gt;0))) * 5</f>
      </c>
      <c r="AD178" s="24">
        <f>MIN(2, SUMPRODUCT((MOD('Streak'!C178:Y178,10)=0)*('Streak'!C178:Y178&gt;0))) * 20</f>
      </c>
      <c r="AE178" s="25">
        <f t="shared" si="0"/>
      </c>
    </row>
    <row customHeight="true" ht="18" r="179">
      <c r="A179" s="17">
        <f t="shared" si="2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1">
        <v>0</v>
      </c>
      <c r="AA179" s="22">
        <f t="shared" si="1"/>
      </c>
      <c r="AB179" s="23">
        <v>0</v>
      </c>
      <c r="AC179" s="24">
        <f>MIN(3, SUMPRODUCT((MOD('Streak'!C179:Y179,5)=0)*(MOD('Streak'!C179:Y179,10)&lt;&gt;0)*('Streak'!C179:Y179&gt;0))) * 5</f>
      </c>
      <c r="AD179" s="24">
        <f>MIN(2, SUMPRODUCT((MOD('Streak'!C179:Y179,10)=0)*('Streak'!C179:Y179&gt;0))) * 20</f>
      </c>
      <c r="AE179" s="25">
        <f t="shared" si="0"/>
      </c>
    </row>
    <row customHeight="true" ht="18" r="180">
      <c r="A180" s="17">
        <f t="shared" si="2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1">
        <v>0</v>
      </c>
      <c r="AA180" s="22">
        <f t="shared" si="1"/>
      </c>
      <c r="AB180" s="23">
        <v>0</v>
      </c>
      <c r="AC180" s="24">
        <f>MIN(3, SUMPRODUCT((MOD('Streak'!C180:Y180,5)=0)*(MOD('Streak'!C180:Y180,10)&lt;&gt;0)*('Streak'!C180:Y180&gt;0))) * 5</f>
      </c>
      <c r="AD180" s="24">
        <f>MIN(2, SUMPRODUCT((MOD('Streak'!C180:Y180,10)=0)*('Streak'!C180:Y180&gt;0))) * 20</f>
      </c>
      <c r="AE180" s="25">
        <f t="shared" si="0"/>
      </c>
    </row>
    <row customHeight="true" ht="18" r="181">
      <c r="A181" s="17">
        <f t="shared" si="2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1">
        <v>0</v>
      </c>
      <c r="AA181" s="22">
        <f t="shared" si="1"/>
      </c>
      <c r="AB181" s="23">
        <v>0</v>
      </c>
      <c r="AC181" s="24">
        <f>MIN(3, SUMPRODUCT((MOD('Streak'!C181:Y181,5)=0)*(MOD('Streak'!C181:Y181,10)&lt;&gt;0)*('Streak'!C181:Y181&gt;0))) * 5</f>
      </c>
      <c r="AD181" s="24">
        <f>MIN(2, SUMPRODUCT((MOD('Streak'!C181:Y181,10)=0)*('Streak'!C181:Y181&gt;0))) * 20</f>
      </c>
      <c r="AE181" s="25">
        <f t="shared" si="0"/>
      </c>
    </row>
    <row customHeight="true" ht="18" r="182">
      <c r="A182" s="17">
        <f t="shared" si="2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1">
        <v>0</v>
      </c>
      <c r="AA182" s="22">
        <f t="shared" si="1"/>
      </c>
      <c r="AB182" s="23">
        <v>0</v>
      </c>
      <c r="AC182" s="24">
        <f>MIN(3, SUMPRODUCT((MOD('Streak'!C182:Y182,5)=0)*(MOD('Streak'!C182:Y182,10)&lt;&gt;0)*('Streak'!C182:Y182&gt;0))) * 5</f>
      </c>
      <c r="AD182" s="24">
        <f>MIN(2, SUMPRODUCT((MOD('Streak'!C182:Y182,10)=0)*('Streak'!C182:Y182&gt;0))) * 20</f>
      </c>
      <c r="AE182" s="25">
        <f t="shared" si="0"/>
      </c>
    </row>
    <row customHeight="true" ht="18" r="183">
      <c r="A183" s="17">
        <f t="shared" si="2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1">
        <v>0</v>
      </c>
      <c r="AA183" s="22">
        <f t="shared" si="1"/>
      </c>
      <c r="AB183" s="23">
        <v>0</v>
      </c>
      <c r="AC183" s="24">
        <f>MIN(3, SUMPRODUCT((MOD('Streak'!C183:Y183,5)=0)*(MOD('Streak'!C183:Y183,10)&lt;&gt;0)*('Streak'!C183:Y183&gt;0))) * 5</f>
      </c>
      <c r="AD183" s="24">
        <f>MIN(2, SUMPRODUCT((MOD('Streak'!C183:Y183,10)=0)*('Streak'!C183:Y183&gt;0))) * 20</f>
      </c>
      <c r="AE183" s="25">
        <f t="shared" si="0"/>
      </c>
    </row>
    <row customHeight="true" ht="18" r="184">
      <c r="A184" s="17">
        <f t="shared" si="2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1">
        <v>0</v>
      </c>
      <c r="AA184" s="22">
        <f t="shared" si="1"/>
      </c>
      <c r="AB184" s="23">
        <v>0</v>
      </c>
      <c r="AC184" s="24">
        <f>MIN(3, SUMPRODUCT((MOD('Streak'!C184:Y184,5)=0)*(MOD('Streak'!C184:Y184,10)&lt;&gt;0)*('Streak'!C184:Y184&gt;0))) * 5</f>
      </c>
      <c r="AD184" s="24">
        <f>MIN(2, SUMPRODUCT((MOD('Streak'!C184:Y184,10)=0)*('Streak'!C184:Y184&gt;0))) * 20</f>
      </c>
      <c r="AE184" s="25">
        <f t="shared" si="0"/>
      </c>
    </row>
    <row customHeight="true" ht="18" r="185">
      <c r="A185" s="17">
        <f t="shared" si="2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1">
        <v>0</v>
      </c>
      <c r="AA185" s="22">
        <f t="shared" si="1"/>
      </c>
      <c r="AB185" s="23">
        <v>0</v>
      </c>
      <c r="AC185" s="24">
        <f>MIN(3, SUMPRODUCT((MOD('Streak'!C185:Y185,5)=0)*(MOD('Streak'!C185:Y185,10)&lt;&gt;0)*('Streak'!C185:Y185&gt;0))) * 5</f>
      </c>
      <c r="AD185" s="24">
        <f>MIN(2, SUMPRODUCT((MOD('Streak'!C185:Y185,10)=0)*('Streak'!C185:Y185&gt;0))) * 20</f>
      </c>
      <c r="AE185" s="25">
        <f t="shared" si="0"/>
      </c>
    </row>
    <row customHeight="true" ht="18" r="186">
      <c r="A186" s="17">
        <f t="shared" si="2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1">
        <v>0</v>
      </c>
      <c r="AA186" s="22">
        <f t="shared" si="1"/>
      </c>
      <c r="AB186" s="23">
        <v>0</v>
      </c>
      <c r="AC186" s="24">
        <f>MIN(3, SUMPRODUCT((MOD('Streak'!C186:Y186,5)=0)*(MOD('Streak'!C186:Y186,10)&lt;&gt;0)*('Streak'!C186:Y186&gt;0))) * 5</f>
      </c>
      <c r="AD186" s="24">
        <f>MIN(2, SUMPRODUCT((MOD('Streak'!C186:Y186,10)=0)*('Streak'!C186:Y186&gt;0))) * 20</f>
      </c>
      <c r="AE186" s="25">
        <f t="shared" si="0"/>
      </c>
    </row>
    <row customHeight="true" ht="18" r="187">
      <c r="A187" s="17">
        <f t="shared" si="2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1">
        <v>0</v>
      </c>
      <c r="AA187" s="22">
        <f t="shared" si="1"/>
      </c>
      <c r="AB187" s="23">
        <v>0</v>
      </c>
      <c r="AC187" s="24">
        <f>MIN(3, SUMPRODUCT((MOD('Streak'!C187:Y187,5)=0)*(MOD('Streak'!C187:Y187,10)&lt;&gt;0)*('Streak'!C187:Y187&gt;0))) * 5</f>
      </c>
      <c r="AD187" s="24">
        <f>MIN(2, SUMPRODUCT((MOD('Streak'!C187:Y187,10)=0)*('Streak'!C187:Y187&gt;0))) * 20</f>
      </c>
      <c r="AE187" s="25">
        <f t="shared" si="0"/>
      </c>
    </row>
    <row customHeight="true" ht="18" r="188">
      <c r="A188" s="17">
        <f t="shared" si="2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1">
        <v>0</v>
      </c>
      <c r="AA188" s="22">
        <f t="shared" si="1"/>
      </c>
      <c r="AB188" s="23">
        <v>0</v>
      </c>
      <c r="AC188" s="24">
        <f>MIN(3, SUMPRODUCT((MOD('Streak'!C188:Y188,5)=0)*(MOD('Streak'!C188:Y188,10)&lt;&gt;0)*('Streak'!C188:Y188&gt;0))) * 5</f>
      </c>
      <c r="AD188" s="24">
        <f>MIN(2, SUMPRODUCT((MOD('Streak'!C188:Y188,10)=0)*('Streak'!C188:Y188&gt;0))) * 20</f>
      </c>
      <c r="AE188" s="25">
        <f t="shared" si="0"/>
      </c>
    </row>
    <row customHeight="true" ht="18" r="189">
      <c r="A189" s="17">
        <f t="shared" si="2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1">
        <v>0</v>
      </c>
      <c r="AA189" s="22">
        <f t="shared" si="1"/>
      </c>
      <c r="AB189" s="23">
        <v>0</v>
      </c>
      <c r="AC189" s="24">
        <f>MIN(3, SUMPRODUCT((MOD('Streak'!C189:Y189,5)=0)*(MOD('Streak'!C189:Y189,10)&lt;&gt;0)*('Streak'!C189:Y189&gt;0))) * 5</f>
      </c>
      <c r="AD189" s="24">
        <f>MIN(2, SUMPRODUCT((MOD('Streak'!C189:Y189,10)=0)*('Streak'!C189:Y189&gt;0))) * 20</f>
      </c>
      <c r="AE189" s="25">
        <f t="shared" si="0"/>
      </c>
    </row>
    <row customHeight="true" ht="18" r="190">
      <c r="A190" s="17">
        <f t="shared" si="2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1">
        <v>0</v>
      </c>
      <c r="AA190" s="22">
        <f t="shared" si="1"/>
      </c>
      <c r="AB190" s="23">
        <v>0</v>
      </c>
      <c r="AC190" s="24">
        <f>MIN(3, SUMPRODUCT((MOD('Streak'!C190:Y190,5)=0)*(MOD('Streak'!C190:Y190,10)&lt;&gt;0)*('Streak'!C190:Y190&gt;0))) * 5</f>
      </c>
      <c r="AD190" s="24">
        <f>MIN(2, SUMPRODUCT((MOD('Streak'!C190:Y190,10)=0)*('Streak'!C190:Y190&gt;0))) * 20</f>
      </c>
      <c r="AE190" s="25">
        <f t="shared" si="0"/>
      </c>
    </row>
    <row customHeight="true" ht="18" r="191">
      <c r="A191" s="17">
        <f t="shared" si="2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1">
        <v>0</v>
      </c>
      <c r="AA191" s="22">
        <f t="shared" si="1"/>
      </c>
      <c r="AB191" s="23">
        <v>0</v>
      </c>
      <c r="AC191" s="24">
        <f>MIN(3, SUMPRODUCT((MOD('Streak'!C191:Y191,5)=0)*(MOD('Streak'!C191:Y191,10)&lt;&gt;0)*('Streak'!C191:Y191&gt;0))) * 5</f>
      </c>
      <c r="AD191" s="24">
        <f>MIN(2, SUMPRODUCT((MOD('Streak'!C191:Y191,10)=0)*('Streak'!C191:Y191&gt;0))) * 20</f>
      </c>
      <c r="AE191" s="25">
        <f t="shared" si="0"/>
      </c>
    </row>
    <row customHeight="true" ht="18" r="192">
      <c r="A192" s="17">
        <f t="shared" si="2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1">
        <v>0</v>
      </c>
      <c r="AA192" s="22">
        <f t="shared" si="1"/>
      </c>
      <c r="AB192" s="23">
        <v>0</v>
      </c>
      <c r="AC192" s="24">
        <f>MIN(3, SUMPRODUCT((MOD('Streak'!C192:Y192,5)=0)*(MOD('Streak'!C192:Y192,10)&lt;&gt;0)*('Streak'!C192:Y192&gt;0))) * 5</f>
      </c>
      <c r="AD192" s="24">
        <f>MIN(2, SUMPRODUCT((MOD('Streak'!C192:Y192,10)=0)*('Streak'!C192:Y192&gt;0))) * 20</f>
      </c>
      <c r="AE192" s="25">
        <f t="shared" si="0"/>
      </c>
    </row>
    <row customHeight="true" ht="18" r="193">
      <c r="A193" s="17">
        <f t="shared" si="2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1">
        <v>0</v>
      </c>
      <c r="AA193" s="22">
        <f t="shared" si="1"/>
      </c>
      <c r="AB193" s="23">
        <v>0</v>
      </c>
      <c r="AC193" s="24">
        <f>MIN(3, SUMPRODUCT((MOD('Streak'!C193:Y193,5)=0)*(MOD('Streak'!C193:Y193,10)&lt;&gt;0)*('Streak'!C193:Y193&gt;0))) * 5</f>
      </c>
      <c r="AD193" s="24">
        <f>MIN(2, SUMPRODUCT((MOD('Streak'!C193:Y193,10)=0)*('Streak'!C193:Y193&gt;0))) * 20</f>
      </c>
      <c r="AE193" s="25">
        <f t="shared" si="0"/>
      </c>
    </row>
    <row customHeight="true" ht="18" r="194">
      <c r="A194" s="17">
        <f t="shared" si="2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1">
        <v>0</v>
      </c>
      <c r="AA194" s="22">
        <f t="shared" si="1"/>
      </c>
      <c r="AB194" s="23">
        <v>0</v>
      </c>
      <c r="AC194" s="24">
        <f>MIN(3, SUMPRODUCT((MOD('Streak'!C194:Y194,5)=0)*(MOD('Streak'!C194:Y194,10)&lt;&gt;0)*('Streak'!C194:Y194&gt;0))) * 5</f>
      </c>
      <c r="AD194" s="24">
        <f>MIN(2, SUMPRODUCT((MOD('Streak'!C194:Y194,10)=0)*('Streak'!C194:Y194&gt;0))) * 20</f>
      </c>
      <c r="AE194" s="25">
        <f t="shared" si="0"/>
      </c>
    </row>
    <row customHeight="true" ht="18" r="195">
      <c r="A195" s="17">
        <f t="shared" si="2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1">
        <v>0</v>
      </c>
      <c r="AA195" s="22">
        <f t="shared" si="1"/>
      </c>
      <c r="AB195" s="23">
        <v>0</v>
      </c>
      <c r="AC195" s="24">
        <f>MIN(3, SUMPRODUCT((MOD('Streak'!C195:Y195,5)=0)*(MOD('Streak'!C195:Y195,10)&lt;&gt;0)*('Streak'!C195:Y195&gt;0))) * 5</f>
      </c>
      <c r="AD195" s="24">
        <f>MIN(2, SUMPRODUCT((MOD('Streak'!C195:Y195,10)=0)*('Streak'!C195:Y195&gt;0))) * 20</f>
      </c>
      <c r="AE195" s="25">
        <f t="shared" si="0"/>
      </c>
    </row>
    <row customHeight="true" ht="18" r="196">
      <c r="A196" s="17">
        <f t="shared" si="2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1">
        <v>0</v>
      </c>
      <c r="AA196" s="22">
        <f t="shared" si="1"/>
      </c>
      <c r="AB196" s="23">
        <v>0</v>
      </c>
      <c r="AC196" s="24">
        <f>MIN(3, SUMPRODUCT((MOD('Streak'!C196:Y196,5)=0)*(MOD('Streak'!C196:Y196,10)&lt;&gt;0)*('Streak'!C196:Y196&gt;0))) * 5</f>
      </c>
      <c r="AD196" s="24">
        <f>MIN(2, SUMPRODUCT((MOD('Streak'!C196:Y196,10)=0)*('Streak'!C196:Y196&gt;0))) * 20</f>
      </c>
      <c r="AE196" s="25">
        <f t="shared" si="0"/>
      </c>
    </row>
    <row customHeight="true" ht="18" r="197">
      <c r="A197" s="17">
        <f t="shared" si="2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1">
        <v>0</v>
      </c>
      <c r="AA197" s="22">
        <f t="shared" si="1"/>
      </c>
      <c r="AB197" s="23">
        <v>0</v>
      </c>
      <c r="AC197" s="24">
        <f>MIN(3, SUMPRODUCT((MOD('Streak'!C197:Y197,5)=0)*(MOD('Streak'!C197:Y197,10)&lt;&gt;0)*('Streak'!C197:Y197&gt;0))) * 5</f>
      </c>
      <c r="AD197" s="24">
        <f>MIN(2, SUMPRODUCT((MOD('Streak'!C197:Y197,10)=0)*('Streak'!C197:Y197&gt;0))) * 20</f>
      </c>
      <c r="AE197" s="25">
        <f t="shared" si="0"/>
      </c>
    </row>
    <row customHeight="true" ht="18" r="198">
      <c r="A198" s="17">
        <f t="shared" si="2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1">
        <v>0</v>
      </c>
      <c r="AA198" s="22">
        <f t="shared" si="1"/>
      </c>
      <c r="AB198" s="23">
        <v>0</v>
      </c>
      <c r="AC198" s="24">
        <f>MIN(3, SUMPRODUCT((MOD('Streak'!C198:Y198,5)=0)*(MOD('Streak'!C198:Y198,10)&lt;&gt;0)*('Streak'!C198:Y198&gt;0))) * 5</f>
      </c>
      <c r="AD198" s="24">
        <f>MIN(2, SUMPRODUCT((MOD('Streak'!C198:Y198,10)=0)*('Streak'!C198:Y198&gt;0))) * 20</f>
      </c>
      <c r="AE198" s="25">
        <f t="shared" si="0"/>
      </c>
    </row>
    <row customHeight="true" ht="18" r="199">
      <c r="A199" s="17">
        <f t="shared" si="2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1">
        <v>0</v>
      </c>
      <c r="AA199" s="22">
        <f t="shared" si="1"/>
      </c>
      <c r="AB199" s="23">
        <v>0</v>
      </c>
      <c r="AC199" s="24">
        <f>MIN(3, SUMPRODUCT((MOD('Streak'!C199:Y199,5)=0)*(MOD('Streak'!C199:Y199,10)&lt;&gt;0)*('Streak'!C199:Y199&gt;0))) * 5</f>
      </c>
      <c r="AD199" s="24">
        <f>MIN(2, SUMPRODUCT((MOD('Streak'!C199:Y199,10)=0)*('Streak'!C199:Y199&gt;0))) * 20</f>
      </c>
      <c r="AE199" s="25">
        <f t="shared" si="0"/>
      </c>
    </row>
    <row customHeight="true" ht="18" r="200">
      <c r="A200" s="17">
        <f t="shared" si="2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1">
        <v>0</v>
      </c>
      <c r="AA200" s="22">
        <f t="shared" si="1"/>
      </c>
      <c r="AB200" s="23">
        <v>0</v>
      </c>
      <c r="AC200" s="24">
        <f>MIN(3, SUMPRODUCT((MOD('Streak'!C200:Y200,5)=0)*(MOD('Streak'!C200:Y200,10)&lt;&gt;0)*('Streak'!C200:Y200&gt;0))) * 5</f>
      </c>
      <c r="AD200" s="24">
        <f>MIN(2, SUMPRODUCT((MOD('Streak'!C200:Y200,10)=0)*('Streak'!C200:Y200&gt;0))) * 20</f>
      </c>
      <c r="AE200" s="25">
        <f t="shared" si="0"/>
      </c>
    </row>
    <row customHeight="true" ht="18" r="201">
      <c r="A201" s="17">
        <f t="shared" si="2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1">
        <v>0</v>
      </c>
      <c r="AA201" s="22">
        <f t="shared" si="1"/>
      </c>
      <c r="AB201" s="23">
        <v>0</v>
      </c>
      <c r="AC201" s="24">
        <f>MIN(3, SUMPRODUCT((MOD('Streak'!C201:Y201,5)=0)*(MOD('Streak'!C201:Y201,10)&lt;&gt;0)*('Streak'!C201:Y201&gt;0))) * 5</f>
      </c>
      <c r="AD201" s="24">
        <f>MIN(2, SUMPRODUCT((MOD('Streak'!C201:Y201,10)=0)*('Streak'!C201:Y201&gt;0))) * 20</f>
      </c>
      <c r="AE201" s="25">
        <f t="shared" si="0"/>
      </c>
    </row>
    <row customHeight="true" ht="18" r="202">
      <c r="A202" s="17">
        <f t="shared" si="2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1">
        <v>0</v>
      </c>
      <c r="AA202" s="22">
        <f t="shared" si="1"/>
      </c>
      <c r="AB202" s="23">
        <v>0</v>
      </c>
      <c r="AC202" s="24">
        <f>MIN(3, SUMPRODUCT((MOD('Streak'!C202:Y202,5)=0)*(MOD('Streak'!C202:Y202,10)&lt;&gt;0)*('Streak'!C202:Y202&gt;0))) * 5</f>
      </c>
      <c r="AD202" s="24">
        <f>MIN(2, SUMPRODUCT((MOD('Streak'!C202:Y202,10)=0)*('Streak'!C202:Y202&gt;0))) * 20</f>
      </c>
      <c r="AE202" s="25">
        <f t="shared" si="0"/>
      </c>
    </row>
    <row customHeight="true" ht="18" r="203">
      <c r="A203" s="17">
        <f t="shared" si="2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1">
        <v>0</v>
      </c>
      <c r="AA203" s="22">
        <f t="shared" si="1"/>
      </c>
      <c r="AB203" s="23">
        <v>0</v>
      </c>
      <c r="AC203" s="24">
        <f>MIN(3, SUMPRODUCT((MOD('Streak'!C203:Y203,5)=0)*(MOD('Streak'!C203:Y203,10)&lt;&gt;0)*('Streak'!C203:Y203&gt;0))) * 5</f>
      </c>
      <c r="AD203" s="24">
        <f>MIN(2, SUMPRODUCT((MOD('Streak'!C203:Y203,10)=0)*('Streak'!C203:Y203&gt;0))) * 20</f>
      </c>
      <c r="AE203" s="25">
        <f t="shared" si="0"/>
      </c>
    </row>
    <row customHeight="true" ht="18" r="204">
      <c r="A204" s="17">
        <f t="shared" si="2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1">
        <v>0</v>
      </c>
      <c r="AA204" s="22">
        <f t="shared" si="1"/>
      </c>
      <c r="AB204" s="23">
        <v>0</v>
      </c>
      <c r="AC204" s="24">
        <f>MIN(3, SUMPRODUCT((MOD('Streak'!C204:Y204,5)=0)*(MOD('Streak'!C204:Y204,10)&lt;&gt;0)*('Streak'!C204:Y204&gt;0))) * 5</f>
      </c>
      <c r="AD204" s="24">
        <f>MIN(2, SUMPRODUCT((MOD('Streak'!C204:Y204,10)=0)*('Streak'!C204:Y204&gt;0))) * 20</f>
      </c>
      <c r="AE204" s="25">
        <f t="shared" si="0"/>
      </c>
    </row>
    <row r="205">
      <c r="A205" s="17">
        <f t="shared" si="2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1">
        <v>0</v>
      </c>
      <c r="AA205" s="22">
        <f t="shared" si="1"/>
      </c>
      <c r="AB205" s="23">
        <v>0</v>
      </c>
      <c r="AC205" s="24">
        <f>MIN(3, SUMPRODUCT((MOD('Streak'!C205:Y205,5)=0)*(MOD('Streak'!C205:Y205,10)&lt;&gt;0)*('Streak'!C205:Y205&gt;0))) * 5</f>
      </c>
      <c r="AD205" s="24">
        <f>MIN(2, SUMPRODUCT((MOD('Streak'!C205:Y205,10)=0)*('Streak'!C205:Y205&gt;0))) * 20</f>
      </c>
      <c r="AE205" s="25">
        <f t="shared" si="0"/>
      </c>
    </row>
    <row r="206">
      <c r="A206" s="17">
        <f t="shared" si="2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1">
        <v>0</v>
      </c>
      <c r="AA206" s="31">
        <f t="shared" si="1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0"/>
      </c>
    </row>
    <row r="207">
      <c r="A207" s="17">
        <f t="shared" si="2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1">
        <v>0</v>
      </c>
      <c r="AA207" s="31">
        <f t="shared" si="1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0"/>
      </c>
    </row>
    <row r="208">
      <c r="A208" s="17">
        <f t="shared" si="2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1">
        <v>0</v>
      </c>
      <c r="AA208" s="31">
        <f t="shared" si="1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0"/>
      </c>
    </row>
    <row r="209">
      <c r="A209" s="17">
        <f t="shared" si="2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1">
        <v>0</v>
      </c>
      <c r="AA209" s="31">
        <f t="shared" si="1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0"/>
      </c>
    </row>
    <row r="210">
      <c r="A210" s="17">
        <f t="shared" si="2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1">
        <v>0</v>
      </c>
      <c r="AA210" s="31">
        <f t="shared" si="1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0"/>
      </c>
    </row>
    <row r="211">
      <c r="A211" s="17">
        <f t="shared" si="2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1">
        <v>0</v>
      </c>
      <c r="AA211" s="31">
        <f t="shared" si="1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0"/>
      </c>
    </row>
    <row r="212">
      <c r="A212" s="17">
        <f t="shared" si="2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1">
        <v>0</v>
      </c>
      <c r="AA212" s="31">
        <f t="shared" si="1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0"/>
      </c>
    </row>
    <row r="213">
      <c r="A213" s="17">
        <f t="shared" si="2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1">
        <v>0</v>
      </c>
      <c r="AA213" s="31">
        <f t="shared" si="1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0"/>
      </c>
    </row>
    <row r="214">
      <c r="A214" s="17">
        <f t="shared" si="2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1">
        <v>0</v>
      </c>
      <c r="AA214" s="31">
        <f t="shared" si="1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0"/>
      </c>
    </row>
    <row r="215">
      <c r="A215" s="17">
        <f t="shared" si="2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1">
        <v>0</v>
      </c>
      <c r="AA215" s="31">
        <f t="shared" si="1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0"/>
      </c>
    </row>
    <row r="216">
      <c r="A216" s="17">
        <f t="shared" si="2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1">
        <v>0</v>
      </c>
      <c r="AA216" s="31">
        <f t="shared" si="1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0"/>
      </c>
    </row>
    <row r="217">
      <c r="A217" s="17">
        <f t="shared" si="2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1">
        <v>0</v>
      </c>
      <c r="AA217" s="31">
        <f t="shared" si="1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0"/>
      </c>
    </row>
    <row r="218">
      <c r="A218" s="17">
        <f t="shared" si="2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1">
        <v>0</v>
      </c>
      <c r="AA218" s="31">
        <f t="shared" si="1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3" defaultRowHeight="18"/>
  <cols>
    <col collapsed="false" customWidth="true" hidden="false" max="2" min="2" style="0" width="1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13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13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13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13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7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13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</cols>
  <sheetData>
    <row r="1">
      <c r="A1" s="35" t="s">
        <v>98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99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100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101</v>
      </c>
      <c r="B4" s="44" t="s">
        <v>102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